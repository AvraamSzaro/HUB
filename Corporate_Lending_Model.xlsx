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Lend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0" customWidth="1" min="4" max="4"/>
    <col width="40" customWidth="1" min="5" max="5"/>
    <col width="1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#</t>
        </is>
      </c>
      <c r="B1" s="1" t="inlineStr">
        <is>
          <t>Criteria</t>
        </is>
      </c>
      <c r="C1" s="1" t="inlineStr">
        <is>
          <t>Description</t>
        </is>
      </c>
      <c r="D1" s="1" t="inlineStr">
        <is>
          <t>Weight</t>
        </is>
      </c>
      <c r="E1" s="1" t="inlineStr">
        <is>
          <t>Scoring Guide</t>
        </is>
      </c>
      <c r="F1" s="1" t="inlineStr">
        <is>
          <t>Score (1-5)</t>
        </is>
      </c>
      <c r="G1" s="1" t="inlineStr">
        <is>
          <t>Weighted Score</t>
        </is>
      </c>
      <c r="H1" s="1" t="inlineStr">
        <is>
          <t>Max Weighted Score</t>
        </is>
      </c>
      <c r="I1" s="1" t="inlineStr">
        <is>
          <t>Remarks</t>
        </is>
      </c>
    </row>
    <row r="2">
      <c r="A2" s="2" t="inlineStr">
        <is>
          <t>1</t>
        </is>
      </c>
      <c r="B2" s="2" t="inlineStr">
        <is>
          <t>KATM Score</t>
        </is>
      </c>
      <c r="C2" s="2" t="inlineStr">
        <is>
          <t>Internal bank risk score (A–F → numerical scale)</t>
        </is>
      </c>
      <c r="D2" s="2" t="inlineStr">
        <is>
          <t>25%</t>
        </is>
      </c>
      <c r="E2" s="2" t="inlineStr">
        <is>
          <t>1 = F, 5 = A</t>
        </is>
      </c>
      <c r="F2" s="2" t="inlineStr"/>
      <c r="G2" s="2">
        <f>IF(F2&lt;&gt;"", F2*VALUE(D2)/100, "")</f>
        <v/>
      </c>
      <c r="H2" s="2">
        <f>5*VALUE(D2)/100</f>
        <v/>
      </c>
      <c r="I2" s="2" t="inlineStr"/>
    </row>
    <row r="3">
      <c r="A3" s="2" t="inlineStr">
        <is>
          <t>2</t>
        </is>
      </c>
      <c r="B3" s="2" t="inlineStr">
        <is>
          <t>Cash Flow Adequacy (DSCR)</t>
        </is>
      </c>
      <c r="C3" s="2" t="inlineStr">
        <is>
          <t>Debt Service Coverage Ratio (Operating CF / Debt Service)</t>
        </is>
      </c>
      <c r="D3" s="2" t="inlineStr">
        <is>
          <t>20%</t>
        </is>
      </c>
      <c r="E3" s="2" t="inlineStr">
        <is>
          <t>1 = DSCR &lt; 1.0, 5 = DSCR ≥ 2.0</t>
        </is>
      </c>
      <c r="F3" s="2" t="inlineStr"/>
      <c r="G3" s="2">
        <f>IF(F3&lt;&gt;"", F3*VALUE(D3)/100, "")</f>
        <v/>
      </c>
      <c r="H3" s="2">
        <f>5*VALUE(D3)/100</f>
        <v/>
      </c>
      <c r="I3" s="2" t="inlineStr"/>
    </row>
    <row r="4">
      <c r="A4" s="2" t="inlineStr">
        <is>
          <t>3</t>
        </is>
      </c>
      <c r="B4" s="2" t="inlineStr">
        <is>
          <t>Leverage</t>
        </is>
      </c>
      <c r="C4" s="2" t="inlineStr">
        <is>
          <t>Debt-to-Equity or Debt-to-EBITDA</t>
        </is>
      </c>
      <c r="D4" s="2" t="inlineStr">
        <is>
          <t>15%</t>
        </is>
      </c>
      <c r="E4" s="2" t="inlineStr">
        <is>
          <t>1 = D/E &gt; 3.0, 5 = D/E ≤ 1.0</t>
        </is>
      </c>
      <c r="F4" s="2" t="inlineStr"/>
      <c r="G4" s="2">
        <f>IF(F4&lt;&gt;"", F4*VALUE(D4)/100, "")</f>
        <v/>
      </c>
      <c r="H4" s="2">
        <f>5*VALUE(D4)/100</f>
        <v/>
      </c>
      <c r="I4" s="2" t="inlineStr"/>
    </row>
    <row r="5">
      <c r="A5" s="2" t="inlineStr">
        <is>
          <t>4</t>
        </is>
      </c>
      <c r="B5" s="2" t="inlineStr">
        <is>
          <t>Liquidity</t>
        </is>
      </c>
      <c r="C5" s="2" t="inlineStr">
        <is>
          <t>Current ratio or quick ratio</t>
        </is>
      </c>
      <c r="D5" s="2" t="inlineStr">
        <is>
          <t>10%</t>
        </is>
      </c>
      <c r="E5" s="2" t="inlineStr">
        <is>
          <t>1 = CR &lt; 1.0, 5 = CR ≥ 2.0</t>
        </is>
      </c>
      <c r="F5" s="2" t="inlineStr"/>
      <c r="G5" s="2">
        <f>IF(F5&lt;&gt;"", F5*VALUE(D5)/100, "")</f>
        <v/>
      </c>
      <c r="H5" s="2">
        <f>5*VALUE(D5)/100</f>
        <v/>
      </c>
      <c r="I5" s="2" t="inlineStr"/>
    </row>
    <row r="6">
      <c r="A6" s="2" t="inlineStr">
        <is>
          <t>5</t>
        </is>
      </c>
      <c r="B6" s="2" t="inlineStr">
        <is>
          <t>Collateral Coverage</t>
        </is>
      </c>
      <c r="C6" s="2" t="inlineStr">
        <is>
          <t>Value of collateral relative to loan amount</t>
        </is>
      </c>
      <c r="D6" s="2" t="inlineStr">
        <is>
          <t>10%</t>
        </is>
      </c>
      <c r="E6" s="2" t="inlineStr">
        <is>
          <t>1 = &lt; 50%, 5 = ≥ 150%</t>
        </is>
      </c>
      <c r="F6" s="2" t="inlineStr"/>
      <c r="G6" s="2">
        <f>IF(F6&lt;&gt;"", F6*VALUE(D6)/100, "")</f>
        <v/>
      </c>
      <c r="H6" s="2">
        <f>5*VALUE(D6)/100</f>
        <v/>
      </c>
      <c r="I6" s="2" t="inlineStr"/>
    </row>
    <row r="7">
      <c r="A7" s="2" t="inlineStr">
        <is>
          <t>6</t>
        </is>
      </c>
      <c r="B7" s="2" t="inlineStr">
        <is>
          <t>Management &amp; Governance</t>
        </is>
      </c>
      <c r="C7" s="2" t="inlineStr">
        <is>
          <t>Quality, experience, and transparency of management</t>
        </is>
      </c>
      <c r="D7" s="2" t="inlineStr">
        <is>
          <t>10%</t>
        </is>
      </c>
      <c r="E7" s="2" t="inlineStr">
        <is>
          <t>1 = Poor, 5 = Excellent</t>
        </is>
      </c>
      <c r="F7" s="2" t="inlineStr"/>
      <c r="G7" s="2">
        <f>IF(F7&lt;&gt;"", F7*VALUE(D7)/100, "")</f>
        <v/>
      </c>
      <c r="H7" s="2">
        <f>5*VALUE(D7)/100</f>
        <v/>
      </c>
      <c r="I7" s="2" t="inlineStr"/>
    </row>
    <row r="8">
      <c r="A8" s="2" t="inlineStr">
        <is>
          <t>7</t>
        </is>
      </c>
      <c r="B8" s="2" t="inlineStr">
        <is>
          <t>Industry &amp; Market Risk</t>
        </is>
      </c>
      <c r="C8" s="2" t="inlineStr">
        <is>
          <t>Stability and prospects of the sector</t>
        </is>
      </c>
      <c r="D8" s="2" t="inlineStr">
        <is>
          <t>10%</t>
        </is>
      </c>
      <c r="E8" s="2" t="inlineStr">
        <is>
          <t>1 = Declining, 5 = Growing &amp; stable</t>
        </is>
      </c>
      <c r="F8" s="2" t="inlineStr"/>
      <c r="G8" s="2">
        <f>IF(F8&lt;&gt;"", F8*VALUE(D8)/100, "")</f>
        <v/>
      </c>
      <c r="H8" s="2">
        <f>5*VALUE(D8)/100</f>
        <v/>
      </c>
      <c r="I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3" t="inlineStr">
        <is>
          <t>TOTAL</t>
        </is>
      </c>
      <c r="C10" s="2" t="n"/>
      <c r="D10" s="2" t="n"/>
      <c r="E10" s="2" t="n"/>
      <c r="F10" s="2" t="n"/>
      <c r="G10" s="3">
        <f>SUM(G2:G8)</f>
        <v/>
      </c>
      <c r="H10" s="3">
        <f>SUM(H2:H8)</f>
        <v/>
      </c>
      <c r="I10" s="2" t="n"/>
    </row>
  </sheetData>
  <conditionalFormatting sqref="F2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2025-08-14T11:27:50Z</dcterms:created>
  <dcterms:modified xmlns:dcterms="http://purl.org/dc/terms/" xmlns:xsi="http://www.w3.org/2001/XMLSchema-instance" xsi:type="dcterms:W3CDTF">2025-08-14T11:27:50Z</dcterms:modified>
</cp:coreProperties>
</file>