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xmlns:r="http://schemas.openxmlformats.org/officeDocument/2006/relationships" name="Маҳаллий банклар" sheetId="1" state="visible" r:id="rId1"/>
    <sheet xmlns:r="http://schemas.openxmlformats.org/officeDocument/2006/relationships" name="Foreign banks" sheetId="2" state="hidden" r:id="rId2"/>
    <sheet xmlns:r="http://schemas.openxmlformats.org/officeDocument/2006/relationships" name="Хорижий банклар" sheetId="3" state="visible" r:id="rId3"/>
    <sheet xmlns:r="http://schemas.openxmlformats.org/officeDocument/2006/relationships" name="Жами банклар" sheetId="4" state="visible" r:id="rId4"/>
    <sheet xmlns:r="http://schemas.openxmlformats.org/officeDocument/2006/relationships" name="Лист2" sheetId="5" state="hidden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/>
  <calcPr calcId="162913" fullCalcOnLoad="1"/>
</workbook>
</file>

<file path=xl/styles.xml><?xml version="1.0" encoding="utf-8"?>
<styleSheet xmlns="http://schemas.openxmlformats.org/spreadsheetml/2006/main">
  <numFmts count="8">
    <numFmt numFmtId="164" formatCode="_-* #,##0_р_._-;\-* #,##0_р_._-;_-* &quot;-&quot;??_р_._-;_-@_-"/>
    <numFmt numFmtId="165" formatCode="_-* #,##0\ _₽_-;\-* #,##0\ _₽_-;_-* &quot;-&quot;??\ _₽_-;_-@_-"/>
    <numFmt numFmtId="166" formatCode="_-* #,##0.0\ _₽_-;\-* #,##0.0\ _₽_-;_-* &quot;-&quot;??\ _₽_-;_-@_-"/>
    <numFmt numFmtId="167" formatCode="0.0%"/>
    <numFmt numFmtId="168" formatCode="_-* #,##0.00\ _₽_-;\-* #,##0.00\ _₽_-;_-* &quot;-&quot;??\ _₽_-;_-@_-"/>
    <numFmt numFmtId="169" formatCode="_-* #,##0.0\ _₽_-;\-* #,##0.0\ _₽_-;_-* &quot;-&quot;?\ _₽_-;_-@_-"/>
    <numFmt numFmtId="170" formatCode="#,##0.0"/>
    <numFmt numFmtId="171" formatCode="0.0"/>
  </numFmts>
  <fonts count="3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3.5"/>
    </font>
    <font>
      <name val="Times New Roman"/>
      <charset val="204"/>
      <family val="1"/>
      <b val="1"/>
      <color theme="1"/>
      <sz val="13.5"/>
    </font>
    <font>
      <name val="Times New Roman"/>
      <charset val="204"/>
      <family val="1"/>
      <b val="1"/>
      <i val="1"/>
      <sz val="13.5"/>
    </font>
    <font>
      <name val="Times New Roman"/>
      <charset val="204"/>
      <family val="1"/>
      <i val="1"/>
      <color theme="1"/>
      <sz val="13"/>
    </font>
    <font>
      <name val="Times New Roman"/>
      <charset val="204"/>
      <family val="1"/>
      <sz val="13.5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</font>
    <font>
      <name val="Arial"/>
      <charset val="204"/>
      <family val="2"/>
      <color rgb="FF000000"/>
      <sz val="12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sz val="10"/>
    </font>
    <font>
      <name val="Calibri"/>
      <charset val="204"/>
      <family val="2"/>
      <color rgb="FF9C0006"/>
      <sz val="11"/>
      <scheme val="minor"/>
    </font>
    <font>
      <name val="Arial"/>
      <charset val="204"/>
      <family val="2"/>
      <b val="1"/>
      <i val="1"/>
      <color rgb="FF000000"/>
      <sz val="12"/>
    </font>
    <font>
      <name val="Arial"/>
      <charset val="204"/>
      <family val="2"/>
      <b val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theme="1"/>
      <sz val="12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2"/>
    </font>
    <font>
      <name val="Arial"/>
      <charset val="204"/>
      <family val="2"/>
      <b val="1"/>
      <color rgb="FFC00000"/>
      <sz val="10"/>
    </font>
    <font>
      <name val="Arial"/>
      <charset val="204"/>
      <family val="2"/>
      <b val="1"/>
      <sz val="18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  <font>
      <name val="Arial"/>
      <charset val="204"/>
      <family val="2"/>
      <b val="1"/>
      <sz val="12"/>
    </font>
    <font>
      <name val="Arial"/>
      <charset val="204"/>
      <family val="2"/>
      <b val="1"/>
      <i val="1"/>
      <sz val="12"/>
    </font>
    <font>
      <name val="Arial"/>
      <charset val="204"/>
      <family val="2"/>
      <sz val="11"/>
    </font>
    <font>
      <name val="Arial"/>
      <charset val="204"/>
      <family val="2"/>
      <sz val="12"/>
    </font>
    <font>
      <name val="Arial"/>
      <charset val="204"/>
      <family val="2"/>
      <color rgb="FFFF0000"/>
      <sz val="11"/>
    </font>
    <font>
      <name val="Arial"/>
      <charset val="204"/>
      <family val="2"/>
      <b val="1"/>
      <sz val="11"/>
    </font>
    <font>
      <name val="Arial"/>
      <charset val="204"/>
      <family val="2"/>
      <b val="1"/>
      <color rgb="FFFF0000"/>
      <sz val="11"/>
    </font>
    <font>
      <name val="Arial"/>
      <charset val="204"/>
      <family val="2"/>
      <b val="1"/>
      <i val="1"/>
      <sz val="11"/>
    </font>
    <font>
      <name val="Arial"/>
      <charset val="204"/>
      <family val="2"/>
      <color rgb="FF9C0006"/>
      <sz val="11"/>
    </font>
    <font>
      <name val="Times New Roman"/>
      <charset val="204"/>
      <family val="1"/>
      <b val="1"/>
      <color rgb="FF000000"/>
      <sz val="13.5"/>
    </font>
    <font>
      <name val="Times New Roman"/>
      <charset val="204"/>
      <family val="1"/>
      <b val="1"/>
      <i val="1"/>
      <color theme="1"/>
      <sz val="13"/>
    </font>
    <font>
      <name val="Times New Roman"/>
      <charset val="204"/>
      <family val="1"/>
      <b val="1"/>
      <color rgb="FFC00000"/>
      <sz val="16"/>
    </font>
    <font>
      <name val="Arial"/>
      <charset val="204"/>
      <family val="2"/>
      <b val="1"/>
      <color rgb="FF000000"/>
      <sz val="12"/>
    </font>
    <font>
      <name val="Arial"/>
      <charset val="204"/>
      <family val="2"/>
      <color rgb="FFFF0000"/>
      <sz val="10"/>
    </font>
  </fonts>
  <fills count="9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42" fontId="1" fillId="0" borderId="0"/>
    <xf numFmtId="9" fontId="1" fillId="0" borderId="0"/>
    <xf numFmtId="0" fontId="14" fillId="6" borderId="0"/>
  </cellStyleXfs>
  <cellXfs count="310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165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3" fillId="0" borderId="1" applyAlignment="1" pivotButton="0" quotePrefix="0" xfId="1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6" fontId="3" fillId="0" borderId="1" applyAlignment="1" pivotButton="0" quotePrefix="0" xfId="1">
      <alignment horizontal="center" vertical="center" wrapText="1"/>
    </xf>
    <xf numFmtId="0" fontId="15" fillId="4" borderId="16" applyAlignment="1" pivotButton="0" quotePrefix="0" xfId="0">
      <alignment horizontal="left" vertical="center"/>
    </xf>
    <xf numFmtId="0" fontId="10" fillId="4" borderId="19" applyAlignment="1" pivotButton="0" quotePrefix="0" xfId="0">
      <alignment horizontal="left" vertical="center"/>
    </xf>
    <xf numFmtId="0" fontId="10" fillId="4" borderId="21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167" fontId="13" fillId="0" borderId="1" applyAlignment="1" pivotButton="0" quotePrefix="0" xfId="3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3" fontId="17" fillId="0" borderId="1" applyAlignment="1" pivotButton="0" quotePrefix="0" xfId="0">
      <alignment horizontal="center" vertical="center" wrapText="1"/>
    </xf>
    <xf numFmtId="168" fontId="17" fillId="0" borderId="0" applyAlignment="1" pivotButton="0" quotePrefix="0" xfId="1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17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7" fontId="17" fillId="0" borderId="1" applyAlignment="1" pivotButton="0" quotePrefix="0" xfId="3">
      <alignment horizontal="center" vertical="center" wrapText="1"/>
    </xf>
    <xf numFmtId="167" fontId="17" fillId="0" borderId="9" applyAlignment="1" pivotButton="0" quotePrefix="0" xfId="3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67" fontId="17" fillId="0" borderId="12" applyAlignment="1" pivotButton="0" quotePrefix="0" xfId="3">
      <alignment horizontal="center" vertical="center" wrapText="1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9" fontId="21" fillId="0" borderId="0" applyAlignment="1" pivotButton="0" quotePrefix="0" xfId="0">
      <alignment horizontal="center" vertical="center" wrapText="1"/>
    </xf>
    <xf numFmtId="165" fontId="17" fillId="0" borderId="1" applyAlignment="1" pivotButton="0" quotePrefix="0" xfId="1">
      <alignment horizontal="center" vertical="center" wrapText="1"/>
    </xf>
    <xf numFmtId="165" fontId="19" fillId="0" borderId="1" applyAlignment="1" pivotButton="0" quotePrefix="0" xfId="1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9" fontId="17" fillId="0" borderId="0" applyAlignment="1" pivotButton="0" quotePrefix="0" xfId="0">
      <alignment horizontal="center" vertical="center" wrapText="1"/>
    </xf>
    <xf numFmtId="169" fontId="17" fillId="0" borderId="0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7" fontId="17" fillId="0" borderId="1" applyAlignment="1" pivotButton="0" quotePrefix="0" xfId="3">
      <alignment horizontal="center" vertical="center" wrapText="1"/>
    </xf>
    <xf numFmtId="165" fontId="17" fillId="0" borderId="1" applyAlignment="1" pivotButton="0" quotePrefix="0" xfId="1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9" fontId="17" fillId="0" borderId="1" applyAlignment="1" pivotButton="0" quotePrefix="0" xfId="3">
      <alignment horizontal="center" vertical="center" wrapText="1"/>
    </xf>
    <xf numFmtId="0" fontId="17" fillId="0" borderId="21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 wrapText="1"/>
    </xf>
    <xf numFmtId="14" fontId="19" fillId="0" borderId="0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9" fontId="11" fillId="3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167" fontId="11" fillId="0" borderId="11" applyAlignment="1" pivotButton="0" quotePrefix="0" xfId="0">
      <alignment horizontal="center" vertical="center" wrapText="1"/>
    </xf>
    <xf numFmtId="9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1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3" fontId="16" fillId="2" borderId="4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 wrapText="1"/>
    </xf>
    <xf numFmtId="3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3" fontId="13" fillId="2" borderId="3" applyAlignment="1" pivotButton="0" quotePrefix="0" xfId="0">
      <alignment horizontal="center" vertical="center"/>
    </xf>
    <xf numFmtId="0" fontId="13" fillId="0" borderId="2" applyAlignment="1" pivotButton="0" quotePrefix="0" xfId="2">
      <alignment horizontal="left" vertical="center" wrapText="1"/>
    </xf>
    <xf numFmtId="0" fontId="13" fillId="0" borderId="2" applyAlignment="1" pivotButton="0" quotePrefix="0" xfId="2">
      <alignment horizontal="center" vertical="center"/>
    </xf>
    <xf numFmtId="0" fontId="13" fillId="2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3" fontId="13" fillId="0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3" fontId="13" fillId="5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165" fontId="23" fillId="0" borderId="1" applyAlignment="1" pivotButton="0" quotePrefix="0" xfId="1">
      <alignment horizontal="center" vertical="center"/>
    </xf>
    <xf numFmtId="165" fontId="27" fillId="0" borderId="1" applyAlignment="1" pivotButton="0" quotePrefix="0" xfId="1">
      <alignment horizontal="center" vertical="center"/>
    </xf>
    <xf numFmtId="0" fontId="25" fillId="2" borderId="4" applyAlignment="1" pivotButton="0" quotePrefix="0" xfId="0">
      <alignment horizontal="center" vertical="center" wrapText="1"/>
    </xf>
    <xf numFmtId="170" fontId="16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16" fillId="0" borderId="2" applyAlignment="1" pivotButton="0" quotePrefix="1" xfId="0">
      <alignment horizontal="left" vertical="center" wrapText="1"/>
    </xf>
    <xf numFmtId="0" fontId="16" fillId="0" borderId="2" applyAlignment="1" pivotButton="0" quotePrefix="1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3" fillId="0" borderId="2" applyAlignment="1" pivotButton="0" quotePrefix="1" xfId="0">
      <alignment horizontal="center" vertical="center" wrapText="1"/>
    </xf>
    <xf numFmtId="0" fontId="23" fillId="0" borderId="2" applyAlignment="1" pivotButton="0" quotePrefix="1" xfId="0">
      <alignment horizontal="left" vertical="center" wrapText="1"/>
    </xf>
    <xf numFmtId="0" fontId="13" fillId="0" borderId="2" applyAlignment="1" pivotButton="0" quotePrefix="1" xfId="0">
      <alignment horizontal="left"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32" fillId="0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9" fontId="23" fillId="0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0" applyAlignment="1" pivotButton="0" quotePrefix="0" xfId="1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9" fontId="33" fillId="6" borderId="0" applyAlignment="1" pivotButton="0" quotePrefix="0" xfId="4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9" fontId="20" fillId="4" borderId="0" applyAlignment="1" pivotButton="0" quotePrefix="0" xfId="0">
      <alignment horizontal="center" vertical="center"/>
    </xf>
    <xf numFmtId="9" fontId="20" fillId="4" borderId="20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0" fillId="4" borderId="0" applyAlignment="1" pivotButton="0" quotePrefix="0" xfId="1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4" borderId="20" applyAlignment="1" pivotButton="0" quotePrefix="0" xfId="0">
      <alignment horizontal="center" vertical="center"/>
    </xf>
    <xf numFmtId="0" fontId="20" fillId="4" borderId="20" applyAlignment="1" pivotButton="0" quotePrefix="0" xfId="0">
      <alignment horizontal="center" vertical="center"/>
    </xf>
    <xf numFmtId="9" fontId="20" fillId="4" borderId="0" applyAlignment="1" pivotButton="0" quotePrefix="0" xfId="3">
      <alignment horizontal="center" vertical="center"/>
    </xf>
    <xf numFmtId="9" fontId="20" fillId="4" borderId="20" applyAlignment="1" pivotButton="0" quotePrefix="0" xfId="3">
      <alignment horizontal="center" vertical="center"/>
    </xf>
    <xf numFmtId="0" fontId="20" fillId="4" borderId="22" applyAlignment="1" pivotButton="0" quotePrefix="0" xfId="0">
      <alignment horizontal="center" vertical="center"/>
    </xf>
    <xf numFmtId="0" fontId="20" fillId="4" borderId="23" applyAlignment="1" pivotButton="0" quotePrefix="0" xfId="0">
      <alignment horizontal="center" vertical="center"/>
    </xf>
    <xf numFmtId="167" fontId="20" fillId="4" borderId="0" applyAlignment="1" pivotButton="0" quotePrefix="0" xfId="3">
      <alignment horizontal="center" vertical="center"/>
    </xf>
    <xf numFmtId="167" fontId="17" fillId="3" borderId="1" applyAlignment="1" pivotButton="0" quotePrefix="0" xfId="3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165" fontId="17" fillId="3" borderId="1" applyAlignment="1" pivotButton="0" quotePrefix="0" xfId="1">
      <alignment horizontal="center" vertical="center" wrapText="1"/>
    </xf>
    <xf numFmtId="166" fontId="17" fillId="3" borderId="1" applyAlignment="1" pivotButton="0" quotePrefix="0" xfId="1">
      <alignment horizontal="center" vertical="center" wrapText="1"/>
    </xf>
    <xf numFmtId="168" fontId="17" fillId="3" borderId="1" applyAlignment="1" pivotButton="0" quotePrefix="0" xfId="1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165" fontId="17" fillId="0" borderId="0" applyAlignment="1" pivotButton="0" quotePrefix="0" xfId="1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9" fontId="17" fillId="0" borderId="0" applyAlignment="1" pivotButton="0" quotePrefix="0" xfId="3">
      <alignment horizontal="center" vertical="center" wrapText="1"/>
    </xf>
    <xf numFmtId="9" fontId="17" fillId="0" borderId="0" applyAlignment="1" pivotButton="0" quotePrefix="0" xfId="3">
      <alignment horizontal="center" vertical="center" wrapText="1"/>
    </xf>
    <xf numFmtId="0" fontId="35" fillId="0" borderId="0" applyAlignment="1" pivotButton="0" quotePrefix="0" xfId="0">
      <alignment horizontal="right" vertical="center"/>
    </xf>
    <xf numFmtId="164" fontId="7" fillId="0" borderId="1" applyAlignment="1" pivotButton="0" quotePrefix="0" xfId="1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167" fontId="27" fillId="0" borderId="1" applyAlignment="1" pivotButton="0" quotePrefix="0" xfId="3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30" fillId="2" borderId="24" applyAlignment="1" pivotButton="0" quotePrefix="0" xfId="0">
      <alignment horizontal="center" vertical="center"/>
    </xf>
    <xf numFmtId="164" fontId="16" fillId="2" borderId="25" applyAlignment="1" pivotButton="0" quotePrefix="0" xfId="1">
      <alignment horizontal="center" vertical="center" wrapText="1"/>
    </xf>
    <xf numFmtId="170" fontId="16" fillId="2" borderId="25" applyAlignment="1" pivotButton="0" quotePrefix="0" xfId="1">
      <alignment horizontal="center" vertical="center" wrapText="1"/>
    </xf>
    <xf numFmtId="164" fontId="16" fillId="2" borderId="26" applyAlignment="1" pivotButton="0" quotePrefix="0" xfId="1">
      <alignment horizontal="center" vertical="center" wrapText="1"/>
    </xf>
    <xf numFmtId="0" fontId="32" fillId="0" borderId="27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7" fontId="23" fillId="0" borderId="1" applyAlignment="1" pivotButton="0" quotePrefix="0" xfId="0">
      <alignment horizontal="center" vertical="center"/>
    </xf>
    <xf numFmtId="0" fontId="15" fillId="4" borderId="19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167" fontId="23" fillId="0" borderId="9" applyAlignment="1" pivotButton="0" quotePrefix="0" xfId="0">
      <alignment horizontal="center" vertical="center"/>
    </xf>
    <xf numFmtId="165" fontId="16" fillId="0" borderId="0" applyAlignment="1" pivotButton="0" quotePrefix="0" xfId="1">
      <alignment horizontal="right" vertical="center"/>
    </xf>
    <xf numFmtId="17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3" fontId="13" fillId="0" borderId="3" applyAlignment="1" pivotButton="0" quotePrefix="0" xfId="0">
      <alignment horizontal="right" vertical="center"/>
    </xf>
    <xf numFmtId="3" fontId="13" fillId="2" borderId="3" applyAlignment="1" pivotButton="0" quotePrefix="0" xfId="0">
      <alignment horizontal="right" vertical="center"/>
    </xf>
    <xf numFmtId="3" fontId="13" fillId="5" borderId="0" applyAlignment="1" pivotButton="0" quotePrefix="0" xfId="0">
      <alignment horizontal="right" vertical="center"/>
    </xf>
    <xf numFmtId="3" fontId="23" fillId="0" borderId="0" applyAlignment="1" pivotButton="0" quotePrefix="0" xfId="0">
      <alignment vertical="center"/>
    </xf>
    <xf numFmtId="3" fontId="16" fillId="0" borderId="1" applyAlignment="1" pivotButton="0" quotePrefix="0" xfId="0">
      <alignment horizontal="right" vertical="center"/>
    </xf>
    <xf numFmtId="3" fontId="16" fillId="0" borderId="3" applyAlignment="1" pivotButton="0" quotePrefix="0" xfId="0">
      <alignment horizontal="right" vertical="center"/>
    </xf>
    <xf numFmtId="170" fontId="13" fillId="0" borderId="3" applyAlignment="1" pivotButton="0" quotePrefix="0" xfId="0">
      <alignment horizontal="right" vertical="center"/>
    </xf>
    <xf numFmtId="0" fontId="16" fillId="0" borderId="2" applyAlignment="1" pivotButton="0" quotePrefix="0" xfId="0">
      <alignment horizontal="left" vertical="center"/>
    </xf>
    <xf numFmtId="3" fontId="16" fillId="2" borderId="1" applyAlignment="1" pivotButton="0" quotePrefix="0" xfId="0">
      <alignment horizontal="right" vertical="center"/>
    </xf>
    <xf numFmtId="3" fontId="16" fillId="2" borderId="3" applyAlignment="1" pivotButton="0" quotePrefix="0" xfId="0">
      <alignment horizontal="right" vertical="center"/>
    </xf>
    <xf numFmtId="170" fontId="13" fillId="2" borderId="3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9" fontId="27" fillId="0" borderId="6" applyAlignment="1" pivotButton="0" quotePrefix="0" xfId="3">
      <alignment vertical="center"/>
    </xf>
    <xf numFmtId="0" fontId="27" fillId="0" borderId="6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10" fontId="27" fillId="0" borderId="1" applyAlignment="1" pivotButton="0" quotePrefix="0" xfId="3">
      <alignment vertical="center"/>
    </xf>
    <xf numFmtId="10" fontId="27" fillId="0" borderId="9" applyAlignment="1" pivotButton="0" quotePrefix="0" xfId="3">
      <alignment vertical="center"/>
    </xf>
    <xf numFmtId="10" fontId="23" fillId="0" borderId="0" applyAlignment="1" pivotButton="0" quotePrefix="0" xfId="0">
      <alignment vertical="center"/>
    </xf>
    <xf numFmtId="10" fontId="27" fillId="0" borderId="3" applyAlignment="1" pivotButton="0" quotePrefix="0" xfId="3">
      <alignment vertical="center"/>
    </xf>
    <xf numFmtId="10" fontId="27" fillId="0" borderId="28" applyAlignment="1" pivotButton="0" quotePrefix="0" xfId="3">
      <alignment vertical="center"/>
    </xf>
    <xf numFmtId="10" fontId="27" fillId="0" borderId="6" applyAlignment="1" pivotButton="0" quotePrefix="0" xfId="3">
      <alignment vertical="center"/>
    </xf>
    <xf numFmtId="10" fontId="27" fillId="0" borderId="7" applyAlignment="1" pivotButton="0" quotePrefix="0" xfId="3">
      <alignment vertical="center"/>
    </xf>
    <xf numFmtId="0" fontId="29" fillId="0" borderId="0" applyAlignment="1" pivotButton="0" quotePrefix="0" xfId="0">
      <alignment vertical="center"/>
    </xf>
    <xf numFmtId="165" fontId="23" fillId="0" borderId="0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165" fontId="20" fillId="0" borderId="0" applyAlignment="1" pivotButton="0" quotePrefix="0" xfId="1">
      <alignment vertical="center"/>
    </xf>
    <xf numFmtId="167" fontId="23" fillId="0" borderId="0" applyAlignment="1" pivotButton="0" quotePrefix="0" xfId="3">
      <alignment vertical="center"/>
    </xf>
    <xf numFmtId="165" fontId="23" fillId="0" borderId="0" applyAlignment="1" pivotButton="0" quotePrefix="0" xfId="0">
      <alignment vertical="center"/>
    </xf>
    <xf numFmtId="0" fontId="20" fillId="4" borderId="17" applyAlignment="1" pivotButton="0" quotePrefix="0" xfId="0">
      <alignment vertical="center"/>
    </xf>
    <xf numFmtId="0" fontId="20" fillId="4" borderId="18" applyAlignment="1" pivotButton="0" quotePrefix="0" xfId="0">
      <alignment vertical="center"/>
    </xf>
    <xf numFmtId="0" fontId="20" fillId="4" borderId="0" applyAlignment="1" pivotButton="0" quotePrefix="0" xfId="0">
      <alignment vertical="center"/>
    </xf>
    <xf numFmtId="0" fontId="20" fillId="4" borderId="20" applyAlignment="1" pivotButton="0" quotePrefix="0" xfId="0">
      <alignment vertical="center"/>
    </xf>
    <xf numFmtId="0" fontId="20" fillId="4" borderId="1" applyAlignment="1" pivotButton="0" quotePrefix="0" xfId="0">
      <alignment vertical="center"/>
    </xf>
    <xf numFmtId="9" fontId="20" fillId="4" borderId="1" applyAlignment="1" pivotButton="0" quotePrefix="0" xfId="0">
      <alignment vertical="center"/>
    </xf>
    <xf numFmtId="0" fontId="20" fillId="4" borderId="19" applyAlignment="1" pivotButton="0" quotePrefix="0" xfId="0">
      <alignment vertical="center"/>
    </xf>
    <xf numFmtId="0" fontId="23" fillId="4" borderId="0" applyAlignment="1" pivotButton="0" quotePrefix="0" xfId="0">
      <alignment vertical="center"/>
    </xf>
    <xf numFmtId="0" fontId="23" fillId="4" borderId="20" applyAlignment="1" pivotButton="0" quotePrefix="0" xfId="0">
      <alignment vertical="center"/>
    </xf>
    <xf numFmtId="0" fontId="20" fillId="4" borderId="21" applyAlignment="1" pivotButton="0" quotePrefix="0" xfId="0">
      <alignment vertical="center"/>
    </xf>
    <xf numFmtId="0" fontId="20" fillId="4" borderId="22" applyAlignment="1" pivotButton="0" quotePrefix="0" xfId="0">
      <alignment vertical="center"/>
    </xf>
    <xf numFmtId="0" fontId="20" fillId="4" borderId="23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 wrapText="1"/>
    </xf>
    <xf numFmtId="165" fontId="23" fillId="0" borderId="0" applyAlignment="1" pivotButton="0" quotePrefix="0" xfId="1">
      <alignment vertical="center"/>
    </xf>
    <xf numFmtId="0" fontId="2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9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1">
      <alignment horizontal="center" vertical="center"/>
    </xf>
    <xf numFmtId="14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14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wrapText="1"/>
    </xf>
    <xf numFmtId="0" fontId="23" fillId="0" borderId="1" applyAlignment="1" pivotButton="0" quotePrefix="0" xfId="0">
      <alignment vertical="center"/>
    </xf>
    <xf numFmtId="49" fontId="13" fillId="0" borderId="0" applyAlignment="1" pivotButton="0" quotePrefix="0" xfId="0">
      <alignment horizontal="center" vertical="center" wrapText="1"/>
    </xf>
    <xf numFmtId="168" fontId="17" fillId="0" borderId="0" applyAlignment="1" pivotButton="0" quotePrefix="0" xfId="1">
      <alignment horizontal="center" vertical="center" wrapText="1"/>
    </xf>
    <xf numFmtId="167" fontId="38" fillId="3" borderId="1" applyAlignment="1" pivotButton="0" quotePrefix="0" xfId="3">
      <alignment horizontal="center" vertical="center" wrapText="1"/>
    </xf>
    <xf numFmtId="166" fontId="3" fillId="0" borderId="0" applyAlignment="1" pivotButton="0" quotePrefix="0" xfId="1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1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1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3" fontId="13" fillId="0" borderId="2" applyAlignment="1" pivotButton="0" quotePrefix="0" xfId="0">
      <alignment horizontal="center" vertical="center"/>
    </xf>
    <xf numFmtId="3" fontId="13" fillId="2" borderId="2" applyAlignment="1" pivotButton="0" quotePrefix="0" xfId="0">
      <alignment horizontal="center" vertical="center"/>
    </xf>
    <xf numFmtId="165" fontId="23" fillId="0" borderId="4" applyAlignment="1" pivotButton="0" quotePrefix="0" xfId="1">
      <alignment horizontal="center" vertical="center"/>
    </xf>
    <xf numFmtId="3" fontId="13" fillId="0" borderId="2" applyAlignment="1" pivotButton="0" quotePrefix="0" xfId="0">
      <alignment horizontal="right" vertical="center"/>
    </xf>
    <xf numFmtId="3" fontId="13" fillId="2" borderId="2" applyAlignment="1" pivotButton="0" quotePrefix="0" xfId="0">
      <alignment horizontal="right" vertical="center"/>
    </xf>
    <xf numFmtId="167" fontId="27" fillId="0" borderId="4" applyAlignment="1" pivotButton="0" quotePrefix="0" xfId="3">
      <alignment vertical="center"/>
    </xf>
    <xf numFmtId="3" fontId="13" fillId="2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3" fontId="13" fillId="2" borderId="1" applyAlignment="1" pivotButton="0" quotePrefix="0" xfId="0">
      <alignment horizontal="right" vertical="center"/>
    </xf>
    <xf numFmtId="167" fontId="20" fillId="4" borderId="20" applyAlignment="1" pivotButton="0" quotePrefix="0" xfId="3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1">
      <alignment horizontal="left" vertical="center" wrapText="1"/>
    </xf>
    <xf numFmtId="165" fontId="23" fillId="3" borderId="31" applyAlignment="1" pivotButton="0" quotePrefix="0" xfId="1">
      <alignment vertical="center"/>
    </xf>
    <xf numFmtId="171" fontId="3" fillId="0" borderId="0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/>
    </xf>
    <xf numFmtId="0" fontId="27" fillId="0" borderId="8" applyAlignment="1" pivotButton="0" quotePrefix="0" xfId="0">
      <alignment horizontal="left" vertical="center" wrapText="1"/>
    </xf>
    <xf numFmtId="0" fontId="27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left" vertical="center" wrapText="1"/>
    </xf>
    <xf numFmtId="0" fontId="27" fillId="0" borderId="3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4" fillId="7" borderId="32" applyAlignment="1" pivotButton="0" quotePrefix="0" xfId="0">
      <alignment horizontal="center" vertical="center" wrapText="1"/>
    </xf>
    <xf numFmtId="0" fontId="34" fillId="7" borderId="3" applyAlignment="1" pivotButton="0" quotePrefix="0" xfId="0">
      <alignment horizontal="center" vertical="center" wrapText="1"/>
    </xf>
    <xf numFmtId="0" fontId="4" fillId="7" borderId="3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170" fontId="23" fillId="0" borderId="0" applyAlignment="1" pivotButton="0" quotePrefix="0" xfId="0">
      <alignment vertical="center"/>
    </xf>
    <xf numFmtId="170" fontId="16" fillId="2" borderId="1" applyAlignment="1" pivotButton="0" quotePrefix="0" xfId="0">
      <alignment horizontal="center" vertical="center" wrapText="1"/>
    </xf>
    <xf numFmtId="170" fontId="13" fillId="0" borderId="3" applyAlignment="1" pivotButton="0" quotePrefix="0" xfId="0">
      <alignment horizontal="right" vertical="center"/>
    </xf>
    <xf numFmtId="170" fontId="13" fillId="2" borderId="3" applyAlignment="1" pivotButton="0" quotePrefix="0" xfId="0">
      <alignment horizontal="right" vertical="center"/>
    </xf>
    <xf numFmtId="170" fontId="16" fillId="2" borderId="25" applyAlignment="1" pivotButton="0" quotePrefix="0" xfId="1">
      <alignment horizontal="center" vertical="center" wrapText="1"/>
    </xf>
    <xf numFmtId="0" fontId="0" fillId="0" borderId="27" pivotButton="0" quotePrefix="0" xfId="0"/>
    <xf numFmtId="0" fontId="27" fillId="0" borderId="1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6" pivotButton="0" quotePrefix="0" xfId="0"/>
    <xf numFmtId="0" fontId="0" fillId="0" borderId="37" pivotButton="0" quotePrefix="0" xfId="0"/>
    <xf numFmtId="166" fontId="17" fillId="3" borderId="1" applyAlignment="1" pivotButton="0" quotePrefix="0" xfId="1">
      <alignment horizontal="center" vertical="center" wrapText="1"/>
    </xf>
    <xf numFmtId="168" fontId="17" fillId="3" borderId="1" applyAlignment="1" pivotButton="0" quotePrefix="0" xfId="1">
      <alignment horizontal="center" vertical="center" wrapText="1"/>
    </xf>
    <xf numFmtId="168" fontId="17" fillId="0" borderId="0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3" pivotButton="0" quotePrefix="0" xfId="0"/>
    <xf numFmtId="0" fontId="0" fillId="0" borderId="28" pivotButton="0" quotePrefix="0" xfId="0"/>
    <xf numFmtId="166" fontId="3" fillId="0" borderId="1" applyAlignment="1" pivotButton="0" quotePrefix="0" xfId="1">
      <alignment horizontal="center" vertical="center" wrapText="1"/>
    </xf>
    <xf numFmtId="166" fontId="3" fillId="0" borderId="0" applyAlignment="1" pivotButton="0" quotePrefix="0" xfId="1">
      <alignment horizontal="center" vertical="center" wrapText="1"/>
    </xf>
    <xf numFmtId="171" fontId="3" fillId="0" borderId="0" applyAlignment="1" pivotButton="0" quotePrefix="0" xfId="0">
      <alignment horizontal="center" vertical="center" wrapText="1"/>
    </xf>
    <xf numFmtId="166" fontId="4" fillId="0" borderId="1" applyAlignment="1" pivotButton="0" quotePrefix="0" xfId="1">
      <alignment horizontal="center" vertical="center" wrapText="1"/>
    </xf>
  </cellXfs>
  <cellStyles count="5">
    <cellStyle name="Обычный" xfId="0" builtinId="0"/>
    <cellStyle name="Финансовый" xfId="1" builtinId="3"/>
    <cellStyle name="Денежный [0]" xfId="2" builtinId="7"/>
    <cellStyle name="Процентный" xfId="3" builtinId="5"/>
    <cellStyle name="Плохой" xfId="4" builtinId="27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b val="1"/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externalLink" Target="/xl/externalLinks/externalLink3.xml" Id="rId8"/><Relationship Type="http://schemas.openxmlformats.org/officeDocument/2006/relationships/externalLink" Target="/xl/externalLinks/externalLink4.xml" Id="rId9"/><Relationship Type="http://schemas.openxmlformats.org/officeDocument/2006/relationships/externalLink" Target="/xl/externalLinks/externalLink5.xml" Id="rId10"/><Relationship Type="http://schemas.openxmlformats.org/officeDocument/2006/relationships/externalLink" Target="/xl/externalLinks/externalLink6.xml" Id="rId11"/><Relationship Type="http://schemas.openxmlformats.org/officeDocument/2006/relationships/externalLink" Target="/xl/externalLinks/externalLink7.xml" Id="rId12"/><Relationship Type="http://schemas.openxmlformats.org/officeDocument/2006/relationships/externalLink" Target="/xl/externalLinks/externalLink8.xml" Id="rId13"/><Relationship Type="http://schemas.openxmlformats.org/officeDocument/2006/relationships/externalLink" Target="/xl/externalLinks/externalLink9.xml" Id="rId14"/><Relationship Type="http://schemas.openxmlformats.org/officeDocument/2006/relationships/externalLink" Target="/xl/externalLinks/externalLink10.xml" Id="rId15"/><Relationship Type="http://schemas.openxmlformats.org/officeDocument/2006/relationships/externalLink" Target="/xl/externalLinks/externalLink11.xml" Id="rId16"/><Relationship Type="http://schemas.openxmlformats.org/officeDocument/2006/relationships/externalLink" Target="/xl/externalLinks/externalLink12.xml" Id="rId17"/><Relationship Type="http://schemas.openxmlformats.org/officeDocument/2006/relationships/externalLink" Target="/xl/externalLinks/externalLink13.xml" Id="rId18"/><Relationship Type="http://schemas.openxmlformats.org/officeDocument/2006/relationships/externalLink" Target="/xl/externalLinks/externalLink14.xml" Id="rId19"/><Relationship Type="http://schemas.openxmlformats.org/officeDocument/2006/relationships/externalLink" Target="/xl/externalLinks/externalLink15.xml" Id="rId20"/><Relationship Type="http://schemas.openxmlformats.org/officeDocument/2006/relationships/externalLink" Target="/xl/externalLinks/externalLink16.xml" Id="rId21"/><Relationship Type="http://schemas.openxmlformats.org/officeDocument/2006/relationships/externalLink" Target="/xl/externalLinks/externalLink17.xml" Id="rId22"/><Relationship Type="http://schemas.openxmlformats.org/officeDocument/2006/relationships/externalLink" Target="/xl/externalLinks/externalLink18.xml" Id="rId23"/><Relationship Type="http://schemas.openxmlformats.org/officeDocument/2006/relationships/externalLink" Target="/xl/externalLinks/externalLink19.xml" Id="rId24"/><Relationship Type="http://schemas.openxmlformats.org/officeDocument/2006/relationships/externalLink" Target="/xl/externalLinks/externalLink20.xml" Id="rId25"/><Relationship Type="http://schemas.openxmlformats.org/officeDocument/2006/relationships/externalLink" Target="/xl/externalLinks/externalLink21.xml" Id="rId26"/><Relationship Type="http://schemas.openxmlformats.org/officeDocument/2006/relationships/externalLink" Target="/xl/externalLinks/externalLink22.xml" Id="rId27"/><Relationship Type="http://schemas.openxmlformats.org/officeDocument/2006/relationships/externalLink" Target="/xl/externalLinks/externalLink23.xml" Id="rId28"/><Relationship Type="http://schemas.openxmlformats.org/officeDocument/2006/relationships/externalLink" Target="/xl/externalLinks/externalLink24.xml" Id="rId29"/><Relationship Type="http://schemas.openxmlformats.org/officeDocument/2006/relationships/externalLink" Target="/xl/externalLinks/externalLink25.xml" Id="rId30"/><Relationship Type="http://schemas.openxmlformats.org/officeDocument/2006/relationships/externalLink" Target="/xl/externalLinks/externalLink26.xml" Id="rId31"/><Relationship Type="http://schemas.openxmlformats.org/officeDocument/2006/relationships/externalLink" Target="/xl/externalLinks/externalLink27.xml" Id="rId32"/><Relationship Type="http://schemas.openxmlformats.org/officeDocument/2006/relationships/externalLink" Target="/xl/externalLinks/externalLink28.xml" Id="rId33"/><Relationship Type="http://schemas.openxmlformats.org/officeDocument/2006/relationships/externalLink" Target="/xl/externalLinks/externalLink29.xml" Id="rId34"/><Relationship Type="http://schemas.openxmlformats.org/officeDocument/2006/relationships/externalLink" Target="/xl/externalLinks/externalLink30.xml" Id="rId35"/><Relationship Type="http://schemas.openxmlformats.org/officeDocument/2006/relationships/externalLink" Target="/xl/externalLinks/externalLink31.xml" Id="rId36"/><Relationship Type="http://schemas.openxmlformats.org/officeDocument/2006/relationships/externalLink" Target="/xl/externalLinks/externalLink32.xml" Id="rId37"/><Relationship Type="http://schemas.openxmlformats.org/officeDocument/2006/relationships/externalLink" Target="/xl/externalLinks/externalLink33.xml" Id="rId38"/><Relationship Type="http://schemas.openxmlformats.org/officeDocument/2006/relationships/externalLink" Target="/xl/externalLinks/externalLink34.xml" Id="rId39"/><Relationship Type="http://schemas.openxmlformats.org/officeDocument/2006/relationships/externalLink" Target="/xl/externalLinks/externalLink35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271344</colOff>
      <row>15</row>
      <rowOff>123264</rowOff>
    </from>
    <to>
      <col>19</col>
      <colOff>707571</colOff>
      <row>36</row>
      <rowOff>40607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988344" y="3824407"/>
          <a:ext cx="5362013" cy="46526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ab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grobank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loqabank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norbank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sakabank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davrbank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hamkorbank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infinbank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ipakyulibank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ipotekabank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kapitalbank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kdb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madadinvestbank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nbu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ofb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poytaxtbank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BRB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octobank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saderotbank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garantbank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tbcbank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tengebank.xlsx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trastbank.xlsx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turonbank.xlsx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vobank.xlsx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universalbank.xlsx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uzpsb.xlsx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xb.xlsx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ziraatbank.xlsx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Uzumbank.xlsx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smartbank.xlsx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apexbank.xlsx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hayotbank.xlsx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yangibank.xlsx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/Hisobotlar/&#1052;&#1077;&#1078;.&#1073;&#1072;&#1085;&#1082;%20&#1083;&#1080;&#1084;&#1080;&#1090;%20&#1076;&#1077;&#1087;&#1086;&#1079;&#1080;&#1090;/2025/01.07.2025/01.07.2025/mikrokreditban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  <sheetName val="Лист6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637326332</v>
          </cell>
          <cell r="D5">
            <v>211008881</v>
          </cell>
          <cell r="E5">
            <v>426317451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1406480770</v>
          </cell>
          <cell r="D6">
            <v>689613612</v>
          </cell>
          <cell r="E6">
            <v>716867158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484404020</v>
          </cell>
          <cell r="D7">
            <v>155000</v>
          </cell>
          <cell r="E7">
            <v>484249020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484404020</v>
          </cell>
          <cell r="D8">
            <v>155000</v>
          </cell>
          <cell r="E8">
            <v>484249020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774694151</v>
          </cell>
          <cell r="D10">
            <v>774694151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790290000</v>
          </cell>
          <cell r="D11">
            <v>790290000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-15595849</v>
          </cell>
          <cell r="D12">
            <v>-15595849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77000</v>
          </cell>
          <cell r="D17">
            <v>77000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10577000</v>
          </cell>
          <cell r="D18">
            <v>10577000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10500000</v>
          </cell>
          <cell r="D20">
            <v>10500000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705675985</v>
          </cell>
          <cell r="D21">
            <v>705675985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705675985</v>
          </cell>
          <cell r="D22">
            <v>705675985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3689488850</v>
          </cell>
          <cell r="D24">
            <v>2431586281</v>
          </cell>
          <cell r="E24">
            <v>1257902569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3731882657</v>
          </cell>
          <cell r="D25">
            <v>2455713763</v>
          </cell>
          <cell r="E25">
            <v>1276168894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42393807</v>
          </cell>
          <cell r="D26">
            <v>24127482</v>
          </cell>
          <cell r="E26">
            <v>18266325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308591393</v>
          </cell>
          <cell r="D30">
            <v>308591393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103676268</v>
          </cell>
          <cell r="D31">
            <v>69184437</v>
          </cell>
          <cell r="E31">
            <v>34491831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103118055</v>
          </cell>
          <cell r="D32">
            <v>68530538</v>
          </cell>
          <cell r="E32">
            <v>34587517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3860396</v>
          </cell>
          <cell r="D33">
            <v>2807639</v>
          </cell>
          <cell r="E33">
            <v>1052757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3302183</v>
          </cell>
          <cell r="D34">
            <v>2153740</v>
          </cell>
          <cell r="E34">
            <v>1148443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81851680</v>
          </cell>
          <cell r="D35">
            <v>81851680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64123964</v>
          </cell>
          <cell r="D36">
            <v>64123964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32226274</v>
          </cell>
          <cell r="D37">
            <v>32226274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14498558</v>
          </cell>
          <cell r="D38">
            <v>14498558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41032335</v>
          </cell>
          <cell r="D39">
            <v>41032335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32103499</v>
          </cell>
          <cell r="D40">
            <v>32103499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8513561</v>
          </cell>
          <cell r="D41">
            <v>8513561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415275</v>
          </cell>
          <cell r="D42">
            <v>415275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318111359</v>
          </cell>
          <cell r="D43">
            <v>147725446</v>
          </cell>
          <cell r="E43">
            <v>170385913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319320418</v>
          </cell>
          <cell r="D44">
            <v>148888378</v>
          </cell>
          <cell r="E44">
            <v>170432040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1209059</v>
          </cell>
          <cell r="D45">
            <v>1162932</v>
          </cell>
          <cell r="E45">
            <v>46127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8469345473</v>
          </cell>
          <cell r="D47">
            <v>5379131531</v>
          </cell>
          <cell r="E47">
            <v>3090213942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3129081772</v>
          </cell>
          <cell r="D50">
            <v>1379263107</v>
          </cell>
          <cell r="E50">
            <v>1749818665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3326175643</v>
          </cell>
          <cell r="D51">
            <v>2236920633</v>
          </cell>
          <cell r="E51">
            <v>1089255010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449461</v>
          </cell>
          <cell r="D52">
            <v>449448</v>
          </cell>
          <cell r="E52">
            <v>13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350651552</v>
          </cell>
          <cell r="D53">
            <v>300035032</v>
          </cell>
          <cell r="E53">
            <v>50616520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509383224</v>
          </cell>
          <cell r="D55">
            <v>115811307</v>
          </cell>
          <cell r="E55">
            <v>393571917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45125735</v>
          </cell>
          <cell r="D56">
            <v>45125735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18987271</v>
          </cell>
          <cell r="D58">
            <v>13943308</v>
          </cell>
          <cell r="E58">
            <v>5043963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5133559</v>
          </cell>
          <cell r="D59">
            <v>5133559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15875549</v>
          </cell>
          <cell r="D60">
            <v>232878</v>
          </cell>
          <cell r="E60">
            <v>15642671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7904040</v>
          </cell>
          <cell r="D61">
            <v>7904040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94946754</v>
          </cell>
          <cell r="D62">
            <v>87406034</v>
          </cell>
          <cell r="E62">
            <v>7540720</v>
          </cell>
        </row>
        <row r="63">
          <cell r="A63" t="str">
            <v>29</v>
          </cell>
          <cell r="B63" t="str">
            <v>Жами мажбуриятлар</v>
          </cell>
          <cell r="C63">
            <v>7503714560</v>
          </cell>
          <cell r="D63">
            <v>4192225081</v>
          </cell>
          <cell r="E63">
            <v>3311489479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660262912</v>
          </cell>
          <cell r="D67">
            <v>660262912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660262912</v>
          </cell>
          <cell r="D68">
            <v>660262912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4014492</v>
          </cell>
          <cell r="D70">
            <v>4014492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64253953</v>
          </cell>
          <cell r="D71">
            <v>64253953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57519887</v>
          </cell>
          <cell r="D72">
            <v>57519887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6734066</v>
          </cell>
          <cell r="D74">
            <v>6734066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237099556</v>
          </cell>
          <cell r="D75">
            <v>237099556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236947182</v>
          </cell>
          <cell r="D76">
            <v>236947182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965630913</v>
          </cell>
          <cell r="D77">
            <v>965630913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8469345473</v>
          </cell>
          <cell r="D78">
            <v>5157855994</v>
          </cell>
          <cell r="E78">
            <v>3311489479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8705206</v>
          </cell>
          <cell r="D6">
            <v>8705206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29653298</v>
          </cell>
          <cell r="D7">
            <v>6979438</v>
          </cell>
          <cell r="E7">
            <v>22673860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55816919</v>
          </cell>
          <cell r="D9">
            <v>55816919</v>
          </cell>
          <cell r="E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410389010</v>
          </cell>
          <cell r="D12">
            <v>332733274</v>
          </cell>
          <cell r="E12">
            <v>77655736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11102662</v>
          </cell>
          <cell r="D13">
            <v>11102662</v>
          </cell>
          <cell r="E13">
            <v>0</v>
          </cell>
        </row>
        <row r="14">
          <cell r="B14" t="str">
            <v>Бошқа фоизли даромадлар</v>
          </cell>
          <cell r="C14">
            <v>8950178</v>
          </cell>
          <cell r="D14">
            <v>1083060</v>
          </cell>
          <cell r="E14">
            <v>7867118</v>
          </cell>
        </row>
        <row r="15">
          <cell r="B15" t="str">
            <v>Жами фоизли даромадлар</v>
          </cell>
          <cell r="C15">
            <v>524617273</v>
          </cell>
          <cell r="D15">
            <v>416420559</v>
          </cell>
          <cell r="E15">
            <v>108196714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515756</v>
          </cell>
          <cell r="D18">
            <v>515756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208965550</v>
          </cell>
          <cell r="D19">
            <v>193592469</v>
          </cell>
          <cell r="E19">
            <v>15373081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6968873</v>
          </cell>
          <cell r="D21">
            <v>6904317</v>
          </cell>
          <cell r="E21">
            <v>64556</v>
          </cell>
        </row>
        <row r="22">
          <cell r="B22" t="str">
            <v>Жами депозитлар бўйича фоизли харажатлар</v>
          </cell>
          <cell r="C22">
            <v>216450179</v>
          </cell>
          <cell r="D22">
            <v>201012542</v>
          </cell>
          <cell r="E22">
            <v>15437637</v>
          </cell>
        </row>
        <row r="23">
          <cell r="B23" t="str">
            <v>Кредитлар бўйича фоизли харажатлар</v>
          </cell>
          <cell r="C23">
            <v>17970802</v>
          </cell>
          <cell r="D23">
            <v>7423782</v>
          </cell>
          <cell r="E23">
            <v>10547020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  <cell r="E24">
            <v>0</v>
          </cell>
        </row>
        <row r="25">
          <cell r="B25" t="str">
            <v>Бошқа фоизли харажатлар</v>
          </cell>
          <cell r="C25">
            <v>4541933</v>
          </cell>
          <cell r="D25">
            <v>3988194</v>
          </cell>
          <cell r="E25">
            <v>553739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22512735</v>
          </cell>
          <cell r="D26">
            <v>11411976</v>
          </cell>
          <cell r="E26">
            <v>11100759</v>
          </cell>
        </row>
        <row r="27">
          <cell r="B27" t="str">
            <v>Жами фоизли харажатлар</v>
          </cell>
          <cell r="C27">
            <v>238962914</v>
          </cell>
          <cell r="D27">
            <v>212424518</v>
          </cell>
          <cell r="E27">
            <v>26538396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285654359</v>
          </cell>
          <cell r="D29">
            <v>203996041</v>
          </cell>
          <cell r="E29">
            <v>81658318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61992992</v>
          </cell>
          <cell r="D30">
            <v>40724052</v>
          </cell>
          <cell r="E30">
            <v>21268940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10500000</v>
          </cell>
          <cell r="D32">
            <v>10500000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14617879</v>
          </cell>
          <cell r="D33">
            <v>12582434</v>
          </cell>
          <cell r="E33">
            <v>2035445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198543488</v>
          </cell>
          <cell r="D34">
            <v>140189555</v>
          </cell>
          <cell r="E34">
            <v>58353933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221783783</v>
          </cell>
          <cell r="D37">
            <v>211436494</v>
          </cell>
          <cell r="E37">
            <v>10347289</v>
          </cell>
        </row>
        <row r="38">
          <cell r="B38" t="str">
            <v>Хорижий валюталардаги фойда</v>
          </cell>
          <cell r="C38">
            <v>143436308</v>
          </cell>
          <cell r="D38">
            <v>0</v>
          </cell>
          <cell r="E38">
            <v>143436308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3915098</v>
          </cell>
          <cell r="D40">
            <v>3915098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9994411</v>
          </cell>
          <cell r="D41">
            <v>9994411</v>
          </cell>
          <cell r="E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77178999</v>
          </cell>
          <cell r="D42">
            <v>72695709</v>
          </cell>
          <cell r="E42">
            <v>4483290</v>
          </cell>
        </row>
        <row r="43">
          <cell r="B43" t="str">
            <v>Бошқа фоизсиз даромадлар</v>
          </cell>
          <cell r="C43">
            <v>19113598</v>
          </cell>
          <cell r="D43">
            <v>15937900</v>
          </cell>
          <cell r="E43">
            <v>3175698</v>
          </cell>
        </row>
        <row r="44">
          <cell r="B44" t="str">
            <v>Жами фоизсиз даромадлар</v>
          </cell>
          <cell r="C44">
            <v>475422197</v>
          </cell>
          <cell r="D44">
            <v>313979612</v>
          </cell>
          <cell r="E44">
            <v>161442585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151531217</v>
          </cell>
          <cell r="D47">
            <v>141135047</v>
          </cell>
          <cell r="E47">
            <v>10396170</v>
          </cell>
        </row>
        <row r="48">
          <cell r="B48" t="str">
            <v>Хорижий валютада кўрилган зарарлар</v>
          </cell>
          <cell r="C48">
            <v>42439489</v>
          </cell>
          <cell r="D48">
            <v>0</v>
          </cell>
          <cell r="E48">
            <v>42439489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108488</v>
          </cell>
          <cell r="D51">
            <v>108488</v>
          </cell>
          <cell r="E51">
            <v>0</v>
          </cell>
        </row>
        <row r="52">
          <cell r="B52" t="str">
            <v>Жами фоизсиз харажатлар</v>
          </cell>
          <cell r="C52">
            <v>194079194</v>
          </cell>
          <cell r="D52">
            <v>141243535</v>
          </cell>
          <cell r="E52">
            <v>52835659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479886491</v>
          </cell>
          <cell r="D54">
            <v>312925632</v>
          </cell>
          <cell r="E54">
            <v>166960859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129962659</v>
          </cell>
          <cell r="D57">
            <v>129962659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29308658</v>
          </cell>
          <cell r="D58">
            <v>29308658</v>
          </cell>
          <cell r="E58"/>
        </row>
        <row r="59">
          <cell r="B59" t="str">
            <v>Ижара ва таъминот харажатлари</v>
          </cell>
          <cell r="C59">
            <v>19099137</v>
          </cell>
          <cell r="D59">
            <v>19099137</v>
          </cell>
          <cell r="E59"/>
        </row>
        <row r="60">
          <cell r="B60" t="str">
            <v>Хизмат сафари ва транспорт харажатлари</v>
          </cell>
          <cell r="C60">
            <v>2699478</v>
          </cell>
          <cell r="D60">
            <v>1704756</v>
          </cell>
          <cell r="E60"/>
        </row>
        <row r="61">
          <cell r="B61" t="str">
            <v>Маъмурий харажатлар</v>
          </cell>
          <cell r="C61">
            <v>9319218</v>
          </cell>
          <cell r="D61">
            <v>9319218</v>
          </cell>
          <cell r="E61"/>
        </row>
        <row r="62">
          <cell r="B62" t="str">
            <v>Репрезентация ва хайрия</v>
          </cell>
          <cell r="C62">
            <v>7556960</v>
          </cell>
          <cell r="D62">
            <v>7556960</v>
          </cell>
          <cell r="E62"/>
        </row>
        <row r="63">
          <cell r="B63" t="str">
            <v>Эскириш харажатлари</v>
          </cell>
          <cell r="C63">
            <v>22594356</v>
          </cell>
          <cell r="D63">
            <v>22594356</v>
          </cell>
          <cell r="E63"/>
        </row>
        <row r="64">
          <cell r="B64" t="str">
            <v>Суғурта харажатлари</v>
          </cell>
          <cell r="C64">
            <v>489671</v>
          </cell>
          <cell r="D64">
            <v>489671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2070736</v>
          </cell>
          <cell r="D65">
            <v>2070736</v>
          </cell>
          <cell r="E65"/>
        </row>
        <row r="66">
          <cell r="B66" t="str">
            <v>Жарима ва пенялар</v>
          </cell>
          <cell r="C66">
            <v>663750</v>
          </cell>
          <cell r="D66">
            <v>663750</v>
          </cell>
          <cell r="E66"/>
        </row>
        <row r="67">
          <cell r="B67" t="str">
            <v>Бошқа операцион харажатлар</v>
          </cell>
          <cell r="C67">
            <v>2083712</v>
          </cell>
          <cell r="D67">
            <v>2083712</v>
          </cell>
          <cell r="E67"/>
        </row>
        <row r="68">
          <cell r="B68" t="str">
            <v>Жами операцион харажатлар</v>
          </cell>
          <cell r="C68">
            <v>196539677</v>
          </cell>
          <cell r="D68">
            <v>195544955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283346814</v>
          </cell>
          <cell r="D70">
            <v>117380677</v>
          </cell>
          <cell r="E70">
            <v>165966137</v>
          </cell>
        </row>
        <row r="71">
          <cell r="B71" t="str">
            <v>Фойда солиғини баҳолаш</v>
          </cell>
          <cell r="C71">
            <v>46399632</v>
          </cell>
          <cell r="D71">
            <v>45769035</v>
          </cell>
          <cell r="E71">
            <v>630597</v>
          </cell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236947182</v>
          </cell>
          <cell r="D73">
            <v>71611642</v>
          </cell>
          <cell r="E73">
            <v>165335540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236947182</v>
          </cell>
          <cell r="D77">
            <v>71611642</v>
          </cell>
          <cell r="E77">
            <v>165335540</v>
          </cell>
        </row>
        <row r="79">
          <cell r="B79" t="str">
            <v>Бошқарув Раис имзоси:</v>
          </cell>
          <cell r="C79"/>
          <cell r="D79"/>
          <cell r="E79"/>
        </row>
        <row r="80">
          <cell r="B80"/>
          <cell r="C80"/>
          <cell r="D80"/>
          <cell r="E80"/>
        </row>
        <row r="81">
          <cell r="B81" t="str">
            <v>Бош бухгалтер имзоси:</v>
          </cell>
          <cell r="C81"/>
          <cell r="D81"/>
          <cell r="E81"/>
        </row>
      </sheetData>
      <sheetData sheetId="2">
        <row r="7">
          <cell r="C7">
            <v>1056480770</v>
          </cell>
        </row>
        <row r="9">
          <cell r="C9">
            <v>177574460</v>
          </cell>
          <cell r="E9">
            <v>101233040</v>
          </cell>
          <cell r="G9">
            <v>0</v>
          </cell>
        </row>
      </sheetData>
      <sheetData sheetId="3"/>
      <sheetData sheetId="4">
        <row r="7">
          <cell r="I7">
            <v>0.15179624159483127</v>
          </cell>
        </row>
        <row r="9">
          <cell r="I9">
            <v>0.10377040461135137</v>
          </cell>
        </row>
        <row r="11">
          <cell r="I11">
            <v>0.10377040461135137</v>
          </cell>
        </row>
        <row r="13">
          <cell r="I13">
            <v>7.7134422799186725E-2</v>
          </cell>
        </row>
        <row r="16">
          <cell r="I16">
            <v>0.44888953049796082</v>
          </cell>
        </row>
        <row r="18">
          <cell r="I18">
            <v>3.355016963684422</v>
          </cell>
        </row>
        <row r="21">
          <cell r="I21">
            <v>1.4181809464710404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2173979661</v>
          </cell>
          <cell r="D5">
            <v>1012758499</v>
          </cell>
          <cell r="E5">
            <v>1161221162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1335064766</v>
          </cell>
          <cell r="D6">
            <v>1335064766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6792625471</v>
          </cell>
          <cell r="D7">
            <v>965232141</v>
          </cell>
          <cell r="E7">
            <v>5827393330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6792625471</v>
          </cell>
          <cell r="D8">
            <v>965232141</v>
          </cell>
          <cell r="E8">
            <v>5827393330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709663326</v>
          </cell>
          <cell r="D10">
            <v>709663326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720910017</v>
          </cell>
          <cell r="D11">
            <v>720910017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-11231581</v>
          </cell>
          <cell r="D12">
            <v>-11231581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15110</v>
          </cell>
          <cell r="D13">
            <v>15110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1479944905</v>
          </cell>
          <cell r="D17">
            <v>1479944905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1479944905</v>
          </cell>
          <cell r="D18">
            <v>1479944905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72634837931</v>
          </cell>
          <cell r="D24">
            <v>51996655911</v>
          </cell>
          <cell r="E24">
            <v>20638182020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73945801336</v>
          </cell>
          <cell r="D25">
            <v>53023191748</v>
          </cell>
          <cell r="E25">
            <v>20922609588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1310963405</v>
          </cell>
          <cell r="D26">
            <v>1026535837</v>
          </cell>
          <cell r="E26">
            <v>284427568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111955811</v>
          </cell>
          <cell r="D27">
            <v>0</v>
          </cell>
          <cell r="E27">
            <v>111955811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166433405</v>
          </cell>
          <cell r="D28">
            <v>0</v>
          </cell>
          <cell r="E28">
            <v>166433405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54477594</v>
          </cell>
          <cell r="D29">
            <v>0</v>
          </cell>
          <cell r="E29">
            <v>54477594</v>
          </cell>
        </row>
        <row r="30">
          <cell r="A30">
            <v>10</v>
          </cell>
          <cell r="B30" t="str">
            <v>Асосий воситалар, соф</v>
          </cell>
          <cell r="C30">
            <v>2452196353</v>
          </cell>
          <cell r="D30">
            <v>2452196353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7405439457</v>
          </cell>
          <cell r="D31">
            <v>5662536455</v>
          </cell>
          <cell r="E31">
            <v>1742903002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4628206925</v>
          </cell>
          <cell r="D32">
            <v>3441839938</v>
          </cell>
          <cell r="E32">
            <v>1186366987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3132094397</v>
          </cell>
          <cell r="D33">
            <v>2528037563</v>
          </cell>
          <cell r="E33">
            <v>604056834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354861865</v>
          </cell>
          <cell r="D34">
            <v>307341046</v>
          </cell>
          <cell r="E34">
            <v>47520819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155475553</v>
          </cell>
          <cell r="D35">
            <v>155475553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155475553</v>
          </cell>
          <cell r="D36">
            <v>155475553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>
            <v>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835777845</v>
          </cell>
          <cell r="D39">
            <v>835777845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835777845</v>
          </cell>
          <cell r="D40">
            <v>835777845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0</v>
          </cell>
          <cell r="D42">
            <v>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1240533861</v>
          </cell>
          <cell r="D43">
            <v>719415513</v>
          </cell>
          <cell r="E43">
            <v>521118348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1243577591</v>
          </cell>
          <cell r="D44">
            <v>722459243</v>
          </cell>
          <cell r="E44">
            <v>521118348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3043746</v>
          </cell>
          <cell r="D45">
            <v>3043746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16</v>
          </cell>
          <cell r="D46">
            <v>16</v>
          </cell>
          <cell r="E46"/>
        </row>
        <row r="47">
          <cell r="A47" t="str">
            <v>15</v>
          </cell>
          <cell r="B47" t="str">
            <v>Жами активлар</v>
          </cell>
          <cell r="C47">
            <v>95655939250</v>
          </cell>
          <cell r="D47">
            <v>65653165577</v>
          </cell>
          <cell r="E47">
            <v>30002773673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2648842288</v>
          </cell>
          <cell r="D50">
            <v>2564679276</v>
          </cell>
          <cell r="E50">
            <v>84163012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22276680146</v>
          </cell>
          <cell r="D51">
            <v>21881443954</v>
          </cell>
          <cell r="E51">
            <v>395236192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17056366</v>
          </cell>
          <cell r="D52">
            <v>17056366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9430121668</v>
          </cell>
          <cell r="D53">
            <v>4231764236</v>
          </cell>
          <cell r="E53">
            <v>5198357432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39921853914</v>
          </cell>
          <cell r="D55">
            <v>21311110947</v>
          </cell>
          <cell r="E55">
            <v>18610742967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5719617511</v>
          </cell>
          <cell r="D56">
            <v>700000000</v>
          </cell>
          <cell r="E56">
            <v>5019617511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253082600</v>
          </cell>
          <cell r="D57">
            <v>0</v>
          </cell>
          <cell r="E57">
            <v>253082600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643171140</v>
          </cell>
          <cell r="D58">
            <v>314428536</v>
          </cell>
          <cell r="E58">
            <v>328742604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61767743</v>
          </cell>
          <cell r="D59">
            <v>61767743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124673712</v>
          </cell>
          <cell r="D60">
            <v>124673712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846934571</v>
          </cell>
          <cell r="D62">
            <v>414152109</v>
          </cell>
          <cell r="E62">
            <v>432782462</v>
          </cell>
        </row>
        <row r="63">
          <cell r="A63" t="str">
            <v>29</v>
          </cell>
          <cell r="B63" t="str">
            <v>Жами мажбуриятлар</v>
          </cell>
          <cell r="C63">
            <v>81943801659</v>
          </cell>
          <cell r="D63">
            <v>51621076879</v>
          </cell>
          <cell r="E63">
            <v>30322724780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12430191065</v>
          </cell>
          <cell r="D67">
            <v>12430191065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12429607065</v>
          </cell>
          <cell r="D68">
            <v>12429607065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584000</v>
          </cell>
          <cell r="D69">
            <v>584000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1416866</v>
          </cell>
          <cell r="D70">
            <v>1416866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789385237</v>
          </cell>
          <cell r="D71">
            <v>789385237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766508661</v>
          </cell>
          <cell r="D72">
            <v>766508661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22876576</v>
          </cell>
          <cell r="D74">
            <v>22876576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491144423</v>
          </cell>
          <cell r="D75">
            <v>491144423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35322424</v>
          </cell>
          <cell r="D76">
            <v>35322424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13712137591</v>
          </cell>
          <cell r="D77">
            <v>13712137591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95655939250</v>
          </cell>
          <cell r="D78">
            <v>65333214470</v>
          </cell>
          <cell r="E78">
            <v>30322724780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13375342</v>
          </cell>
          <cell r="D6">
            <v>13375342</v>
          </cell>
        </row>
        <row r="7">
          <cell r="B7" t="str">
            <v>Бошқа банклардаги ҳисобварақлар бўйича фоизли даромадлар</v>
          </cell>
          <cell r="C7">
            <v>76378368</v>
          </cell>
          <cell r="D7">
            <v>20509535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11471699</v>
          </cell>
          <cell r="D8">
            <v>11471699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50713255</v>
          </cell>
          <cell r="D9">
            <v>50713255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4251417017</v>
          </cell>
          <cell r="D12">
            <v>3608197728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>
            <v>0</v>
          </cell>
        </row>
        <row r="14">
          <cell r="B14" t="str">
            <v>Бошқа фоизли даромадлар</v>
          </cell>
          <cell r="C14">
            <v>3333583636</v>
          </cell>
          <cell r="D14">
            <v>2885150464</v>
          </cell>
        </row>
        <row r="15">
          <cell r="B15" t="str">
            <v>Жами фоизли даромадлар</v>
          </cell>
          <cell r="C15">
            <v>7736939317</v>
          </cell>
          <cell r="D15">
            <v>6589418023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107</v>
          </cell>
          <cell r="D18">
            <v>107</v>
          </cell>
        </row>
        <row r="19">
          <cell r="B19" t="str">
            <v>Муддатли депозитлар бўйича фоизли харажатлар</v>
          </cell>
          <cell r="C19">
            <v>1698035127</v>
          </cell>
          <cell r="D19">
            <v>1687757378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353926077</v>
          </cell>
          <cell r="D21">
            <v>271495544</v>
          </cell>
        </row>
        <row r="22">
          <cell r="B22" t="str">
            <v>Жами депозитлар бўйича фоизли харажатлар</v>
          </cell>
          <cell r="C22">
            <v>2051961311</v>
          </cell>
          <cell r="D22">
            <v>1959253029</v>
          </cell>
        </row>
        <row r="23">
          <cell r="B23" t="str">
            <v>Кредитлар бўйича фоизли харажатлар</v>
          </cell>
          <cell r="C23">
            <v>1524071150</v>
          </cell>
          <cell r="D23">
            <v>1030584866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2255789</v>
          </cell>
          <cell r="D24">
            <v>2255789</v>
          </cell>
        </row>
        <row r="25">
          <cell r="B25" t="str">
            <v>Бошқа фоизли харажатлар</v>
          </cell>
          <cell r="C25">
            <v>3582732111</v>
          </cell>
          <cell r="D25">
            <v>2939843784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5109059050</v>
          </cell>
          <cell r="D26">
            <v>3972684439</v>
          </cell>
        </row>
        <row r="27">
          <cell r="B27" t="str">
            <v>Жами фоизли харажатлар</v>
          </cell>
          <cell r="C27">
            <v>7161020361</v>
          </cell>
          <cell r="D27">
            <v>5931937468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575918956</v>
          </cell>
          <cell r="D29">
            <v>657480555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885367564</v>
          </cell>
          <cell r="D30">
            <v>826064477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524017648</v>
          </cell>
          <cell r="D33">
            <v>486386159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-833466256</v>
          </cell>
          <cell r="D34">
            <v>-654970081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475904490</v>
          </cell>
          <cell r="D37">
            <v>474116926</v>
          </cell>
        </row>
        <row r="38">
          <cell r="B38" t="str">
            <v>Хорижий валюталардаги фойда</v>
          </cell>
          <cell r="C38">
            <v>294769541</v>
          </cell>
          <cell r="D38">
            <v>61747794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3387393</v>
          </cell>
          <cell r="D40">
            <v>3387393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824319251</v>
          </cell>
          <cell r="D42">
            <v>806083498</v>
          </cell>
        </row>
        <row r="43">
          <cell r="B43" t="str">
            <v>Бошқа фоизсиз даромадлар</v>
          </cell>
          <cell r="C43">
            <v>1192268220</v>
          </cell>
          <cell r="D43">
            <v>897567555</v>
          </cell>
        </row>
        <row r="44">
          <cell r="B44" t="str">
            <v>Жами фоизсиз даромадлар</v>
          </cell>
          <cell r="C44">
            <v>2790648895</v>
          </cell>
          <cell r="D44">
            <v>2242903166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307630773</v>
          </cell>
          <cell r="D47">
            <v>266084397</v>
          </cell>
        </row>
        <row r="48">
          <cell r="B48" t="str">
            <v>Хорижий валютада кўрилган зарарлар</v>
          </cell>
          <cell r="C48">
            <v>220642057</v>
          </cell>
          <cell r="D48">
            <v>42818209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94862288</v>
          </cell>
          <cell r="D51">
            <v>94862288</v>
          </cell>
        </row>
        <row r="52">
          <cell r="B52" t="str">
            <v>Жами фоизсиз харажатлар</v>
          </cell>
          <cell r="C52">
            <v>623135118</v>
          </cell>
          <cell r="D52">
            <v>403764894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1334047521</v>
          </cell>
          <cell r="D54">
            <v>1184168191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774860839</v>
          </cell>
          <cell r="D57">
            <v>774860839</v>
          </cell>
        </row>
        <row r="58">
          <cell r="B58" t="str">
            <v xml:space="preserve">шундан, раҳбар ходимларга тўловлар </v>
          </cell>
          <cell r="C58">
            <v>6278502</v>
          </cell>
          <cell r="D58">
            <v>6278502</v>
          </cell>
        </row>
        <row r="59">
          <cell r="B59" t="str">
            <v>Ижара ва таъминот харажатлари</v>
          </cell>
          <cell r="C59">
            <v>149148398</v>
          </cell>
          <cell r="D59">
            <v>149148398</v>
          </cell>
        </row>
        <row r="60">
          <cell r="B60" t="str">
            <v>Хизмат сафари ва транспорт харажатлари</v>
          </cell>
          <cell r="C60">
            <v>15598036</v>
          </cell>
          <cell r="D60">
            <v>15598036</v>
          </cell>
        </row>
        <row r="61">
          <cell r="B61" t="str">
            <v>Маъмурий харажатлар</v>
          </cell>
          <cell r="C61">
            <v>73835746</v>
          </cell>
          <cell r="D61">
            <v>73835746</v>
          </cell>
        </row>
        <row r="62">
          <cell r="B62" t="str">
            <v>Репрезентация ва хайрия</v>
          </cell>
          <cell r="C62">
            <v>43185558</v>
          </cell>
          <cell r="D62">
            <v>43185558</v>
          </cell>
        </row>
        <row r="63">
          <cell r="B63" t="str">
            <v>Эскириш харажатлари</v>
          </cell>
          <cell r="C63">
            <v>98101781</v>
          </cell>
          <cell r="D63">
            <v>98101781</v>
          </cell>
        </row>
        <row r="64">
          <cell r="B64" t="str">
            <v>Суғурта харажатлари</v>
          </cell>
          <cell r="C64">
            <v>28559646</v>
          </cell>
          <cell r="D64">
            <v>28559646</v>
          </cell>
        </row>
        <row r="65">
          <cell r="B65" t="str">
            <v>Солиқлар (фойда солиғидан ташқари) ва лицензиялар</v>
          </cell>
          <cell r="C65">
            <v>22814778</v>
          </cell>
          <cell r="D65">
            <v>22814778</v>
          </cell>
        </row>
        <row r="66">
          <cell r="B66" t="str">
            <v>Жарима ва пенялар</v>
          </cell>
          <cell r="C66">
            <v>0</v>
          </cell>
          <cell r="D66">
            <v>0</v>
          </cell>
        </row>
        <row r="67">
          <cell r="B67" t="str">
            <v>Бошқа операцион харажатлар</v>
          </cell>
          <cell r="C67">
            <v>45098749</v>
          </cell>
          <cell r="D67">
            <v>45098749</v>
          </cell>
        </row>
        <row r="68">
          <cell r="B68" t="str">
            <v>Жами операцион харажатлар</v>
          </cell>
          <cell r="C68">
            <v>1251203531</v>
          </cell>
          <cell r="D68">
            <v>1251203531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82843990</v>
          </cell>
          <cell r="D70">
            <v>-67035340</v>
          </cell>
        </row>
        <row r="71">
          <cell r="B71" t="str">
            <v>Фойда солиғини баҳолаш</v>
          </cell>
          <cell r="C71">
            <v>47521566</v>
          </cell>
          <cell r="D71">
            <v>47521566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35322424</v>
          </cell>
          <cell r="D73">
            <v>-114556906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/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35322424</v>
          </cell>
          <cell r="D77">
            <v>-114556906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1335064766</v>
          </cell>
        </row>
        <row r="9">
          <cell r="C9">
            <v>5213910990</v>
          </cell>
          <cell r="E9">
            <v>0</v>
          </cell>
          <cell r="G9">
            <v>746593670</v>
          </cell>
        </row>
      </sheetData>
      <sheetData sheetId="3"/>
      <sheetData sheetId="4">
        <row r="7">
          <cell r="I7">
            <v>0.14175497355812106</v>
          </cell>
        </row>
        <row r="9">
          <cell r="I9">
            <v>0.13177405718519208</v>
          </cell>
        </row>
        <row r="11">
          <cell r="I11">
            <v>0.13176807777905802</v>
          </cell>
        </row>
        <row r="13">
          <cell r="I13">
            <v>0.13967301189767239</v>
          </cell>
        </row>
        <row r="16">
          <cell r="I16">
            <v>0.11296131496732661</v>
          </cell>
        </row>
        <row r="18">
          <cell r="I18">
            <v>1.2346014515876964</v>
          </cell>
        </row>
        <row r="21">
          <cell r="I21">
            <v>1.1149307337310128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449225842</v>
          </cell>
          <cell r="D5">
            <v>272190255</v>
          </cell>
          <cell r="E5">
            <v>177035587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1260810393</v>
          </cell>
          <cell r="D6">
            <v>1174762309</v>
          </cell>
          <cell r="E6">
            <v>86048084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2622684617</v>
          </cell>
          <cell r="D7">
            <v>1097580979.9999998</v>
          </cell>
          <cell r="E7">
            <v>1525103637.0000002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2622684617</v>
          </cell>
          <cell r="D8">
            <v>1097580980</v>
          </cell>
          <cell r="E8">
            <v>1525103637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2479838500</v>
          </cell>
          <cell r="D10">
            <v>2479838500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2509910000</v>
          </cell>
          <cell r="D11">
            <v>2509910000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-30071500</v>
          </cell>
          <cell r="D12">
            <v>-30071500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251</v>
          </cell>
          <cell r="D14">
            <v>251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251</v>
          </cell>
          <cell r="D15">
            <v>251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1083980412</v>
          </cell>
          <cell r="D17">
            <v>1083980412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1083980412</v>
          </cell>
          <cell r="D18">
            <v>1083980412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15625604370</v>
          </cell>
          <cell r="D24">
            <v>10977868760</v>
          </cell>
          <cell r="E24">
            <v>4647735610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15754441814</v>
          </cell>
          <cell r="D25">
            <v>11102745766</v>
          </cell>
          <cell r="E25">
            <v>4651696048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128837444</v>
          </cell>
          <cell r="D26">
            <v>124877006</v>
          </cell>
          <cell r="E26">
            <v>3960438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38911322</v>
          </cell>
          <cell r="D27">
            <v>0</v>
          </cell>
          <cell r="E27">
            <v>38911322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38911322</v>
          </cell>
          <cell r="D28">
            <v>0</v>
          </cell>
          <cell r="E28">
            <v>38911322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2868951233</v>
          </cell>
          <cell r="D30">
            <v>2868951233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733120132</v>
          </cell>
          <cell r="D31">
            <v>472120444</v>
          </cell>
          <cell r="E31">
            <v>260999688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682044180</v>
          </cell>
          <cell r="D32">
            <v>449123640</v>
          </cell>
          <cell r="E32">
            <v>232920540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78603048</v>
          </cell>
          <cell r="D33">
            <v>50319437</v>
          </cell>
          <cell r="E33">
            <v>28283611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27527096</v>
          </cell>
          <cell r="D34">
            <v>27322633</v>
          </cell>
          <cell r="E34">
            <v>204463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340897525</v>
          </cell>
          <cell r="D35">
            <v>340897525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114944007</v>
          </cell>
          <cell r="D36">
            <v>114944007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262505054</v>
          </cell>
          <cell r="D37">
            <v>262505054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36551536</v>
          </cell>
          <cell r="D38">
            <v>36551536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107636382</v>
          </cell>
          <cell r="D39">
            <v>107636382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75280207</v>
          </cell>
          <cell r="D40">
            <v>75280207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31836628</v>
          </cell>
          <cell r="D41">
            <v>31836628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519547</v>
          </cell>
          <cell r="D42">
            <v>519547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536565673</v>
          </cell>
          <cell r="D43">
            <v>297175209</v>
          </cell>
          <cell r="E43">
            <v>239390464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536926932</v>
          </cell>
          <cell r="D44">
            <v>297536468</v>
          </cell>
          <cell r="E44">
            <v>239390464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361259</v>
          </cell>
          <cell r="D45">
            <v>361259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27932953888</v>
          </cell>
          <cell r="D47">
            <v>20957729496</v>
          </cell>
          <cell r="E47">
            <v>6975224392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3850832338</v>
          </cell>
          <cell r="D50">
            <v>2938531497</v>
          </cell>
          <cell r="E50">
            <v>912300841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10947879421</v>
          </cell>
          <cell r="D51">
            <v>10124230497</v>
          </cell>
          <cell r="E51">
            <v>823648924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34391677</v>
          </cell>
          <cell r="D52">
            <v>34391677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1596507822</v>
          </cell>
          <cell r="D53">
            <v>506516621</v>
          </cell>
          <cell r="E53">
            <v>1089991201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1247418663</v>
          </cell>
          <cell r="D54">
            <v>1247418663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4441150490</v>
          </cell>
          <cell r="D55">
            <v>930938746</v>
          </cell>
          <cell r="E55">
            <v>3510211744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1464835419</v>
          </cell>
          <cell r="D57">
            <v>1300395000</v>
          </cell>
          <cell r="E57">
            <v>164440419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150455766</v>
          </cell>
          <cell r="D58">
            <v>99920569</v>
          </cell>
          <cell r="E58">
            <v>50535197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3501942</v>
          </cell>
          <cell r="D59">
            <v>3501942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3570602</v>
          </cell>
          <cell r="D60">
            <v>24441</v>
          </cell>
          <cell r="E60">
            <v>3546161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389424739</v>
          </cell>
          <cell r="D62">
            <v>231909883</v>
          </cell>
          <cell r="E62">
            <v>157514856</v>
          </cell>
        </row>
        <row r="63">
          <cell r="A63" t="str">
            <v>29</v>
          </cell>
          <cell r="B63" t="str">
            <v>Жами мажбуриятлар</v>
          </cell>
          <cell r="C63">
            <v>24129968879</v>
          </cell>
          <cell r="D63">
            <v>17417779536</v>
          </cell>
          <cell r="E63">
            <v>6712189343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2832883297</v>
          </cell>
          <cell r="D67">
            <v>2832883297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2829193297</v>
          </cell>
          <cell r="D68">
            <v>2829193297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3690000</v>
          </cell>
          <cell r="D69">
            <v>3690000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3906139</v>
          </cell>
          <cell r="D70">
            <v>3906139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584564267</v>
          </cell>
          <cell r="D71">
            <v>584564267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580988499</v>
          </cell>
          <cell r="D72">
            <v>580988499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3575768</v>
          </cell>
          <cell r="D74">
            <v>3575768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381631306</v>
          </cell>
          <cell r="D75">
            <v>381631306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207560184</v>
          </cell>
          <cell r="D76">
            <v>207560184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3802985009</v>
          </cell>
          <cell r="D77">
            <v>3802985009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27932953888</v>
          </cell>
          <cell r="D78">
            <v>21220764545</v>
          </cell>
          <cell r="E78">
            <v>6712189343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6496438</v>
          </cell>
        </row>
        <row r="7">
          <cell r="B7" t="str">
            <v>Бошқа банклардаги ҳисобварақлар бўйича фоизли даромадлар</v>
          </cell>
          <cell r="C7">
            <v>54136119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187614638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303731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1234870835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308184</v>
          </cell>
        </row>
        <row r="14">
          <cell r="B14" t="str">
            <v>Бошқа фоизли даромадлар</v>
          </cell>
          <cell r="C14">
            <v>0</v>
          </cell>
        </row>
        <row r="15">
          <cell r="B15" t="str">
            <v>Жами фоизли даромадлар</v>
          </cell>
          <cell r="C15">
            <v>1483729945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44937364</v>
          </cell>
        </row>
        <row r="19">
          <cell r="B19" t="str">
            <v>Муддатли депозитлар бўйича фоизли харажатлар</v>
          </cell>
          <cell r="C19">
            <v>991924715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45126768</v>
          </cell>
        </row>
        <row r="22">
          <cell r="B22" t="str">
            <v>Жами депозитлар бўйича фоизли харажатлар</v>
          </cell>
          <cell r="C22">
            <v>1081988847</v>
          </cell>
        </row>
        <row r="23">
          <cell r="B23" t="str">
            <v>Кредитлар бўйича фоизли харажатлар</v>
          </cell>
          <cell r="C23">
            <v>156111962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24501643</v>
          </cell>
        </row>
        <row r="25">
          <cell r="B25" t="str">
            <v>Бошқа фоизли харажатлар</v>
          </cell>
          <cell r="C25">
            <v>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180613605</v>
          </cell>
        </row>
        <row r="27">
          <cell r="B27" t="str">
            <v>Жами фоизли харажатлар</v>
          </cell>
          <cell r="C27">
            <v>1262602452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221127493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152910491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63417260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4799742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553907880</v>
          </cell>
        </row>
        <row r="38">
          <cell r="B38" t="str">
            <v>Хорижий валюталардаги фойда</v>
          </cell>
          <cell r="C38">
            <v>84899752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7294906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273900918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970863</v>
          </cell>
        </row>
        <row r="43">
          <cell r="B43" t="str">
            <v>Бошқа фоизсиз даромадлар</v>
          </cell>
          <cell r="C43">
            <v>68824756</v>
          </cell>
        </row>
        <row r="44">
          <cell r="B44" t="str">
            <v>Жами фоизсиз даромадлар</v>
          </cell>
          <cell r="C44">
            <v>989799075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385789541</v>
          </cell>
        </row>
        <row r="48">
          <cell r="B48" t="str">
            <v>Хорижий валютада кўрилган зарарлар</v>
          </cell>
          <cell r="C48">
            <v>34791616</v>
          </cell>
        </row>
        <row r="49">
          <cell r="B49" t="str">
            <v>Тижорат операцияларидан кўрилган зарарлар</v>
          </cell>
          <cell r="C49">
            <v>217102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461372</v>
          </cell>
        </row>
        <row r="52">
          <cell r="B52" t="str">
            <v>Жами фоизсиз харажатлар</v>
          </cell>
          <cell r="C52">
            <v>421259631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573339186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198927539</v>
          </cell>
        </row>
        <row r="58">
          <cell r="B58" t="str">
            <v xml:space="preserve">шундан, раҳбар ходимларга тўловлар </v>
          </cell>
          <cell r="C58">
            <v>2145076</v>
          </cell>
        </row>
        <row r="59">
          <cell r="B59" t="str">
            <v>Ижара ва таъминот харажатлари</v>
          </cell>
          <cell r="C59">
            <v>28212803</v>
          </cell>
        </row>
        <row r="60">
          <cell r="B60" t="str">
            <v>Хизмат сафари ва транспорт харажатлари</v>
          </cell>
          <cell r="C60">
            <v>4159791</v>
          </cell>
        </row>
        <row r="61">
          <cell r="B61" t="str">
            <v>Маъмурий харажатлар</v>
          </cell>
          <cell r="C61">
            <v>20359599</v>
          </cell>
        </row>
        <row r="62">
          <cell r="B62" t="str">
            <v>Репрезентация ва хайрия</v>
          </cell>
          <cell r="C62">
            <v>51650832</v>
          </cell>
        </row>
        <row r="63">
          <cell r="B63" t="str">
            <v>Эскириш харажатлари</v>
          </cell>
          <cell r="C63">
            <v>30337678</v>
          </cell>
        </row>
        <row r="64">
          <cell r="B64" t="str">
            <v>Суғурта харажатлари</v>
          </cell>
          <cell r="C64">
            <v>4838446</v>
          </cell>
        </row>
        <row r="65">
          <cell r="B65" t="str">
            <v>Солиқлар (фойда солиғидан ташқари) ва лицензиялар</v>
          </cell>
          <cell r="C65">
            <v>3062030</v>
          </cell>
        </row>
        <row r="66">
          <cell r="B66" t="str">
            <v>Жарима ва пенялар</v>
          </cell>
          <cell r="C66">
            <v>25819</v>
          </cell>
        </row>
        <row r="67">
          <cell r="B67" t="str">
            <v>Бошқа операцион харажатлар</v>
          </cell>
          <cell r="C67">
            <v>11203060</v>
          </cell>
        </row>
        <row r="68">
          <cell r="B68" t="str">
            <v>Жами операцион харажатлар</v>
          </cell>
          <cell r="C68">
            <v>352777597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220561589</v>
          </cell>
        </row>
        <row r="71">
          <cell r="B71" t="str">
            <v>Фойда солиғини баҳолаш</v>
          </cell>
          <cell r="C71">
            <v>13001405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207560184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207560184</v>
          </cell>
        </row>
      </sheetData>
      <sheetData sheetId="2">
        <row r="7">
          <cell r="C7">
            <v>1260810393</v>
          </cell>
        </row>
        <row r="9">
          <cell r="C9">
            <v>1399470776.0000002</v>
          </cell>
          <cell r="E9">
            <v>81553071</v>
          </cell>
          <cell r="G9">
            <v>0</v>
          </cell>
        </row>
      </sheetData>
      <sheetData sheetId="3"/>
      <sheetData sheetId="4">
        <row r="7">
          <cell r="I7">
            <v>0.16596734077424527</v>
          </cell>
        </row>
        <row r="9">
          <cell r="I9">
            <v>0.11361474343472122</v>
          </cell>
        </row>
        <row r="11">
          <cell r="I11">
            <v>0.11349684994787893</v>
          </cell>
        </row>
        <row r="13">
          <cell r="I13">
            <v>0.10961936845796942</v>
          </cell>
        </row>
        <row r="16">
          <cell r="I16">
            <v>0.15981468091987427</v>
          </cell>
        </row>
        <row r="18">
          <cell r="I18">
            <v>1.3713480877994848</v>
          </cell>
        </row>
        <row r="21">
          <cell r="I21">
            <v>1.0365584076137691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Bank Assets Analysis"/>
      <sheetName val="Bank Liabilities Analysis"/>
      <sheetName val="Income 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143171418</v>
          </cell>
          <cell r="D5">
            <v>104188409</v>
          </cell>
          <cell r="E5">
            <v>38983009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1325572468</v>
          </cell>
          <cell r="D6">
            <v>997725293</v>
          </cell>
          <cell r="E6">
            <v>327847175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72341358</v>
          </cell>
          <cell r="D7">
            <v>50694022</v>
          </cell>
          <cell r="E7">
            <v>21647336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72343670</v>
          </cell>
          <cell r="D8">
            <v>50694022</v>
          </cell>
          <cell r="E8">
            <v>21649648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2312</v>
          </cell>
          <cell r="D9">
            <v>0</v>
          </cell>
          <cell r="E9">
            <v>2312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578124136</v>
          </cell>
          <cell r="D10">
            <v>578124136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597995000</v>
          </cell>
          <cell r="D11">
            <v>597995000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-19870864</v>
          </cell>
          <cell r="D12">
            <v>-19870864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2000000</v>
          </cell>
          <cell r="D17">
            <v>2000000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2000000</v>
          </cell>
          <cell r="D18">
            <v>2000000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200993569</v>
          </cell>
          <cell r="D21">
            <v>200993569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200993569</v>
          </cell>
          <cell r="D22">
            <v>200993569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8312734329</v>
          </cell>
          <cell r="D24">
            <v>7437709528</v>
          </cell>
          <cell r="E24">
            <v>875024801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8389927812</v>
          </cell>
          <cell r="D25">
            <v>7509810117</v>
          </cell>
          <cell r="E25">
            <v>880117695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77193483</v>
          </cell>
          <cell r="D26">
            <v>72100589</v>
          </cell>
          <cell r="E26">
            <v>5092894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/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1166328640</v>
          </cell>
          <cell r="D30">
            <v>1166328640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418185744</v>
          </cell>
          <cell r="D31">
            <v>408879120</v>
          </cell>
          <cell r="E31">
            <v>9306624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385378990</v>
          </cell>
          <cell r="D32">
            <v>376331171</v>
          </cell>
          <cell r="E32">
            <v>9047819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53683921</v>
          </cell>
          <cell r="D33">
            <v>53174662</v>
          </cell>
          <cell r="E33">
            <v>509259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20877167</v>
          </cell>
          <cell r="D34">
            <v>20626713</v>
          </cell>
          <cell r="E34">
            <v>250454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>
            <v>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85165748</v>
          </cell>
          <cell r="D39">
            <v>85165748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80665628</v>
          </cell>
          <cell r="D40">
            <v>80665628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1594276</v>
          </cell>
          <cell r="D41">
            <v>1594276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2905844</v>
          </cell>
          <cell r="D42">
            <v>2905844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434230390</v>
          </cell>
          <cell r="D43">
            <v>409462248</v>
          </cell>
          <cell r="E43">
            <v>24768142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436002230</v>
          </cell>
          <cell r="D44">
            <v>411234088</v>
          </cell>
          <cell r="E44">
            <v>24768142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1771840</v>
          </cell>
          <cell r="D45">
            <v>1771840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>
            <v>0</v>
          </cell>
          <cell r="E46"/>
        </row>
        <row r="47">
          <cell r="A47" t="str">
            <v>15</v>
          </cell>
          <cell r="B47" t="str">
            <v>Жами активлар</v>
          </cell>
          <cell r="C47">
            <v>12568516304</v>
          </cell>
          <cell r="D47">
            <v>11270939217</v>
          </cell>
          <cell r="E47">
            <v>1297577087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1372132405</v>
          </cell>
          <cell r="D50">
            <v>1231819582</v>
          </cell>
          <cell r="E50">
            <v>140312823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9645646135</v>
          </cell>
          <cell r="D51">
            <v>8523689911</v>
          </cell>
          <cell r="E51">
            <v>1121956224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2953669</v>
          </cell>
          <cell r="D52">
            <v>2953669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6552883</v>
          </cell>
          <cell r="D53">
            <v>6413951</v>
          </cell>
          <cell r="E53">
            <v>138932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3227208</v>
          </cell>
          <cell r="D55">
            <v>3227208</v>
          </cell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211460000</v>
          </cell>
          <cell r="D57">
            <v>211460000</v>
          </cell>
          <cell r="E57"/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71359080</v>
          </cell>
          <cell r="D58">
            <v>67923240</v>
          </cell>
          <cell r="E58">
            <v>3435840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2754546</v>
          </cell>
          <cell r="D59">
            <v>2754546</v>
          </cell>
          <cell r="E59"/>
        </row>
        <row r="60">
          <cell r="A60" t="str">
            <v>26</v>
          </cell>
          <cell r="B60" t="str">
            <v>Клиринг транзакциялари</v>
          </cell>
          <cell r="C60">
            <v>1963</v>
          </cell>
          <cell r="D60">
            <v>1963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1304694</v>
          </cell>
          <cell r="D61">
            <v>1304694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80084961</v>
          </cell>
          <cell r="D62">
            <v>68757407</v>
          </cell>
          <cell r="E62">
            <v>11327554</v>
          </cell>
        </row>
        <row r="63">
          <cell r="A63" t="str">
            <v>29</v>
          </cell>
          <cell r="B63" t="str">
            <v>Жами мажбуриятлар</v>
          </cell>
          <cell r="C63">
            <v>11397477544</v>
          </cell>
          <cell r="D63">
            <v>10120306171</v>
          </cell>
          <cell r="E63">
            <v>1277171373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800000000</v>
          </cell>
          <cell r="D67">
            <v>800000000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600000000</v>
          </cell>
          <cell r="D68">
            <v>600000000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200000000</v>
          </cell>
          <cell r="D69">
            <v>200000000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18627916</v>
          </cell>
          <cell r="D71">
            <v>18627916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18627916</v>
          </cell>
          <cell r="D72">
            <v>18627916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352410844</v>
          </cell>
          <cell r="D75">
            <v>352410844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5760723</v>
          </cell>
          <cell r="D76">
            <v>5760723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1171038760</v>
          </cell>
          <cell r="D77">
            <v>1171038760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12568516304</v>
          </cell>
          <cell r="D78">
            <v>11291344931</v>
          </cell>
          <cell r="E78">
            <v>1277171373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7">
          <cell r="C7">
            <v>1325572468</v>
          </cell>
        </row>
        <row r="9">
          <cell r="C9">
            <v>52092268</v>
          </cell>
          <cell r="E9">
            <v>0</v>
          </cell>
          <cell r="G9">
            <v>0</v>
          </cell>
        </row>
      </sheetData>
      <sheetData sheetId="2"/>
      <sheetData sheetId="3">
        <row r="5">
          <cell r="B5" t="str">
            <v>ФОИЗЛИ ДАРОМАДЛАР</v>
          </cell>
          <cell r="C5"/>
          <cell r="D5"/>
          <cell r="E5"/>
        </row>
        <row r="6">
          <cell r="B6" t="str">
            <v>Марказий банкдаги ҳисобварақлар бўйича фоизли даромадлар</v>
          </cell>
          <cell r="C6">
            <v>10304233</v>
          </cell>
          <cell r="D6">
            <v>10304233</v>
          </cell>
          <cell r="E6"/>
        </row>
        <row r="7">
          <cell r="B7" t="str">
            <v>Бошқа банклардаги ҳисобварақлар бўйича фоизли даромадлар</v>
          </cell>
          <cell r="C7">
            <v>16790</v>
          </cell>
          <cell r="D7">
            <v>16790</v>
          </cell>
          <cell r="E7"/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53715372</v>
          </cell>
          <cell r="D9">
            <v>53715372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1319684471</v>
          </cell>
          <cell r="D12">
            <v>1319684471</v>
          </cell>
          <cell r="E12"/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9729605</v>
          </cell>
          <cell r="D13">
            <v>9729605</v>
          </cell>
          <cell r="E13"/>
        </row>
        <row r="14">
          <cell r="B14" t="str">
            <v>Бошқа фоизли даромадлар</v>
          </cell>
          <cell r="C14">
            <v>155425</v>
          </cell>
          <cell r="D14">
            <v>155425</v>
          </cell>
          <cell r="E14"/>
        </row>
        <row r="15">
          <cell r="B15" t="str">
            <v>Жами фоизли даромадлар</v>
          </cell>
          <cell r="C15">
            <v>1393605896</v>
          </cell>
          <cell r="D15">
            <v>1393605896</v>
          </cell>
          <cell r="E15">
            <v>0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5565957</v>
          </cell>
          <cell r="D18">
            <v>5565957</v>
          </cell>
          <cell r="E18"/>
        </row>
        <row r="19">
          <cell r="B19" t="str">
            <v>Муддатли депозитлар бўйича фоизли харажатлар</v>
          </cell>
          <cell r="C19">
            <v>972727439</v>
          </cell>
          <cell r="D19">
            <v>972727439</v>
          </cell>
          <cell r="E19"/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/>
        </row>
        <row r="21">
          <cell r="B21" t="str">
            <v>Бошқа банкларнинг ҳисобварақлари бўйича фоизли харажатлар</v>
          </cell>
          <cell r="C21">
            <v>2595507</v>
          </cell>
          <cell r="D21">
            <v>2595507</v>
          </cell>
          <cell r="E21"/>
        </row>
        <row r="22">
          <cell r="B22" t="str">
            <v>Жами депозитлар бўйича фоизли харажатлар</v>
          </cell>
          <cell r="C22">
            <v>980888903</v>
          </cell>
          <cell r="D22">
            <v>980888903</v>
          </cell>
          <cell r="E22">
            <v>0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>
            <v>0</v>
          </cell>
          <cell r="E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  <cell r="E24"/>
        </row>
        <row r="25">
          <cell r="B25" t="str">
            <v>Бошқа фоизли харажатлар</v>
          </cell>
          <cell r="C25">
            <v>15602626</v>
          </cell>
          <cell r="D25">
            <v>15602626</v>
          </cell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15602626</v>
          </cell>
          <cell r="D26">
            <v>15602626</v>
          </cell>
          <cell r="E26">
            <v>0</v>
          </cell>
        </row>
        <row r="27">
          <cell r="B27" t="str">
            <v>Жами фоизли харажатлар</v>
          </cell>
          <cell r="C27">
            <v>996491529</v>
          </cell>
          <cell r="D27">
            <v>996491529</v>
          </cell>
          <cell r="E27">
            <v>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397114367</v>
          </cell>
          <cell r="D29">
            <v>397114367</v>
          </cell>
          <cell r="E29">
            <v>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143260021</v>
          </cell>
          <cell r="D30">
            <v>143260021</v>
          </cell>
          <cell r="E30"/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38671069</v>
          </cell>
          <cell r="D33">
            <v>38671069</v>
          </cell>
          <cell r="E33"/>
        </row>
        <row r="34">
          <cell r="B34" t="str">
            <v>Активлар бўйича эҳтимолий зарарларни баҳолашдан кейинги соф даромад</v>
          </cell>
          <cell r="C34">
            <v>215183277</v>
          </cell>
          <cell r="D34">
            <v>215183277</v>
          </cell>
          <cell r="E34">
            <v>0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240417951</v>
          </cell>
          <cell r="D37">
            <v>240417951</v>
          </cell>
          <cell r="E37"/>
        </row>
        <row r="38">
          <cell r="B38" t="str">
            <v>Хорижий валюталардаги фойда</v>
          </cell>
          <cell r="C38">
            <v>28653578</v>
          </cell>
          <cell r="D38">
            <v>0</v>
          </cell>
          <cell r="E38">
            <v>28653578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/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  <cell r="E40"/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26029457</v>
          </cell>
          <cell r="D41">
            <v>26029457</v>
          </cell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  <cell r="E42"/>
        </row>
        <row r="43">
          <cell r="B43" t="str">
            <v>Бошқа фоизсиз даромадлар</v>
          </cell>
          <cell r="C43">
            <v>43147483</v>
          </cell>
          <cell r="D43">
            <v>43147483</v>
          </cell>
          <cell r="E43"/>
        </row>
        <row r="44">
          <cell r="B44" t="str">
            <v>Жами фоизсиз даромадлар</v>
          </cell>
          <cell r="C44">
            <v>338248469</v>
          </cell>
          <cell r="D44">
            <v>309594891</v>
          </cell>
          <cell r="E44">
            <v>28653578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91989681</v>
          </cell>
          <cell r="D47">
            <v>91989681</v>
          </cell>
          <cell r="E47"/>
        </row>
        <row r="48">
          <cell r="B48" t="str">
            <v>Хорижий валютада кўрилган зарарлар</v>
          </cell>
          <cell r="C48">
            <v>8669438</v>
          </cell>
          <cell r="D48">
            <v>0</v>
          </cell>
          <cell r="E48">
            <v>8669438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/>
        </row>
        <row r="51">
          <cell r="B51" t="str">
            <v>Бошқа фоизсиз харажатлар</v>
          </cell>
          <cell r="C51">
            <v>0</v>
          </cell>
          <cell r="D51">
            <v>0</v>
          </cell>
          <cell r="E51"/>
        </row>
        <row r="52">
          <cell r="B52" t="str">
            <v>Жами фоизсиз харажатлар</v>
          </cell>
          <cell r="C52">
            <v>100659119</v>
          </cell>
          <cell r="D52">
            <v>91989681</v>
          </cell>
          <cell r="E52">
            <v>8669438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452772627</v>
          </cell>
          <cell r="D54">
            <v>432788487</v>
          </cell>
          <cell r="E54">
            <v>19984140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124996315</v>
          </cell>
          <cell r="D57">
            <v>124996315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4834063</v>
          </cell>
          <cell r="D58">
            <v>4834063</v>
          </cell>
          <cell r="E58"/>
        </row>
        <row r="59">
          <cell r="B59" t="str">
            <v>Ижара ва таъминот харажатлари</v>
          </cell>
          <cell r="C59">
            <v>10145211</v>
          </cell>
          <cell r="D59">
            <v>10145211</v>
          </cell>
          <cell r="E59"/>
        </row>
        <row r="60">
          <cell r="B60" t="str">
            <v>Хизмат сафари ва транспорт харажатлари</v>
          </cell>
          <cell r="C60">
            <v>1463187</v>
          </cell>
          <cell r="D60">
            <v>1463187</v>
          </cell>
          <cell r="E60"/>
        </row>
        <row r="61">
          <cell r="B61" t="str">
            <v>Маъмурий харажатлар</v>
          </cell>
          <cell r="C61">
            <v>33350439</v>
          </cell>
          <cell r="D61">
            <v>33350439</v>
          </cell>
          <cell r="E61"/>
        </row>
        <row r="62">
          <cell r="B62" t="str">
            <v>Репрезентация ва хайрия</v>
          </cell>
          <cell r="C62">
            <v>38834615</v>
          </cell>
          <cell r="D62">
            <v>38834615</v>
          </cell>
          <cell r="E62"/>
        </row>
        <row r="63">
          <cell r="B63" t="str">
            <v>Эскириш харажатлари</v>
          </cell>
          <cell r="C63">
            <v>63162241</v>
          </cell>
          <cell r="D63">
            <v>63162241</v>
          </cell>
          <cell r="E63"/>
        </row>
        <row r="64">
          <cell r="B64" t="str">
            <v>Суғурта харажатлари</v>
          </cell>
          <cell r="C64">
            <v>6887760</v>
          </cell>
          <cell r="D64">
            <v>6887760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8009566</v>
          </cell>
          <cell r="D65">
            <v>8009566</v>
          </cell>
          <cell r="E65"/>
        </row>
        <row r="66">
          <cell r="B66" t="str">
            <v>Жарима ва пенялар</v>
          </cell>
          <cell r="C66">
            <v>19891</v>
          </cell>
          <cell r="D66">
            <v>19891</v>
          </cell>
          <cell r="E66"/>
        </row>
        <row r="67">
          <cell r="B67" t="str">
            <v>Бошқа операцион харажатлар</v>
          </cell>
          <cell r="C67">
            <v>16164925</v>
          </cell>
          <cell r="D67">
            <v>16164925</v>
          </cell>
          <cell r="E67"/>
        </row>
        <row r="68">
          <cell r="B68" t="str">
            <v>Жами операцион харажатлар</v>
          </cell>
          <cell r="C68">
            <v>303034150</v>
          </cell>
          <cell r="D68">
            <v>303034150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149738477</v>
          </cell>
          <cell r="D70">
            <v>129754337</v>
          </cell>
          <cell r="E70">
            <v>19984140</v>
          </cell>
        </row>
        <row r="71">
          <cell r="B71" t="str">
            <v>Фойда солиғини баҳолаш</v>
          </cell>
          <cell r="C71">
            <v>47508042</v>
          </cell>
          <cell r="D71">
            <v>47508042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102230435</v>
          </cell>
          <cell r="D73">
            <v>82246295</v>
          </cell>
          <cell r="E73">
            <v>19984140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102230435</v>
          </cell>
          <cell r="D77">
            <v>82246295</v>
          </cell>
          <cell r="E77">
            <v>19984140</v>
          </cell>
        </row>
      </sheetData>
      <sheetData sheetId="4">
        <row r="7">
          <cell r="I7">
            <v>0.1302005673273656</v>
          </cell>
        </row>
        <row r="9">
          <cell r="I9">
            <v>0.10492375867331981</v>
          </cell>
        </row>
        <row r="11">
          <cell r="I11">
            <v>8.6884432680352938E-2</v>
          </cell>
        </row>
        <row r="13">
          <cell r="I13">
            <v>8.9153666523104635E-2</v>
          </cell>
        </row>
        <row r="16">
          <cell r="I16">
            <v>0.17862750715336942</v>
          </cell>
        </row>
        <row r="18">
          <cell r="I18">
            <v>1.3730195239051257</v>
          </cell>
        </row>
        <row r="21">
          <cell r="I21">
            <v>1.0938155948491854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1223875275</v>
          </cell>
          <cell r="D5">
            <v>418729683</v>
          </cell>
          <cell r="E5">
            <v>805145592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703274769</v>
          </cell>
          <cell r="D6">
            <v>703274769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8111774388</v>
          </cell>
          <cell r="D7">
            <v>938311943</v>
          </cell>
          <cell r="E7">
            <v>7173462445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8111774388</v>
          </cell>
          <cell r="D8">
            <v>938311943</v>
          </cell>
          <cell r="E8">
            <v>7173462445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1145100399</v>
          </cell>
          <cell r="D10">
            <v>1004718778</v>
          </cell>
          <cell r="E10">
            <v>140381621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1198115551</v>
          </cell>
          <cell r="D11">
            <v>1059330551</v>
          </cell>
          <cell r="E11">
            <v>138785000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-53000042</v>
          </cell>
          <cell r="D12">
            <v>-54596663</v>
          </cell>
          <cell r="E12">
            <v>1596621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15110</v>
          </cell>
          <cell r="D13">
            <v>15110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529</v>
          </cell>
          <cell r="D14">
            <v>529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529</v>
          </cell>
          <cell r="D15">
            <v>529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1961037924</v>
          </cell>
          <cell r="D17">
            <v>1961037924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1995318099</v>
          </cell>
          <cell r="D18">
            <v>1961037924</v>
          </cell>
          <cell r="E18">
            <v>34280175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34280175</v>
          </cell>
          <cell r="D20">
            <v>0</v>
          </cell>
          <cell r="E20">
            <v>34280175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39320065393</v>
          </cell>
          <cell r="D24">
            <v>13672836837</v>
          </cell>
          <cell r="E24">
            <v>25647228556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39975485339</v>
          </cell>
          <cell r="D25">
            <v>13957243107</v>
          </cell>
          <cell r="E25">
            <v>26018242232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655419946</v>
          </cell>
          <cell r="D26">
            <v>284406270</v>
          </cell>
          <cell r="E26">
            <v>371013676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270436477</v>
          </cell>
          <cell r="D27">
            <v>21679719</v>
          </cell>
          <cell r="E27">
            <v>248756758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272778059</v>
          </cell>
          <cell r="D28">
            <v>21679719</v>
          </cell>
          <cell r="E28">
            <v>251098340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2341582</v>
          </cell>
          <cell r="D29">
            <v>0</v>
          </cell>
          <cell r="E29">
            <v>2341582</v>
          </cell>
        </row>
        <row r="30">
          <cell r="A30">
            <v>10</v>
          </cell>
          <cell r="B30" t="str">
            <v>Асосий воситалар, соф</v>
          </cell>
          <cell r="C30">
            <v>2803685088</v>
          </cell>
          <cell r="D30">
            <v>2803685088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2163082918</v>
          </cell>
          <cell r="D31">
            <v>781469517</v>
          </cell>
          <cell r="E31">
            <v>1381613401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2246054878</v>
          </cell>
          <cell r="D32">
            <v>809659349</v>
          </cell>
          <cell r="E32">
            <v>1436395529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28998372</v>
          </cell>
          <cell r="D33">
            <v>16710643</v>
          </cell>
          <cell r="E33">
            <v>12287729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111970332</v>
          </cell>
          <cell r="D34">
            <v>44900475</v>
          </cell>
          <cell r="E34">
            <v>67069857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2835826438</v>
          </cell>
          <cell r="D35">
            <v>2835826438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2288887674</v>
          </cell>
          <cell r="D36">
            <v>2288887674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547751005</v>
          </cell>
          <cell r="D37">
            <v>547751005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812241</v>
          </cell>
          <cell r="D38">
            <v>812241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468998426</v>
          </cell>
          <cell r="D39">
            <v>468998426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349047193</v>
          </cell>
          <cell r="D40">
            <v>349047193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106589368</v>
          </cell>
          <cell r="D41">
            <v>106589368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13361865</v>
          </cell>
          <cell r="D42">
            <v>13361865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1416986408</v>
          </cell>
          <cell r="D43">
            <v>1192787518</v>
          </cell>
          <cell r="E43">
            <v>224198890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1445404057</v>
          </cell>
          <cell r="D44">
            <v>1211307219</v>
          </cell>
          <cell r="E44">
            <v>234096838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28417649</v>
          </cell>
          <cell r="D45">
            <v>18519701</v>
          </cell>
          <cell r="E45">
            <v>9897948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61486147580</v>
          </cell>
          <cell r="D47">
            <v>25865360317</v>
          </cell>
          <cell r="E47">
            <v>35620787263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2813406481</v>
          </cell>
          <cell r="D50">
            <v>1803740869</v>
          </cell>
          <cell r="E50">
            <v>1009665612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15396885027</v>
          </cell>
          <cell r="D51">
            <v>13140220291</v>
          </cell>
          <cell r="E51">
            <v>2256664736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497645</v>
          </cell>
          <cell r="D52">
            <v>497645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2774381401</v>
          </cell>
          <cell r="D53">
            <v>1247620868</v>
          </cell>
          <cell r="E53">
            <v>1526760533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31320921478</v>
          </cell>
          <cell r="D55">
            <v>2159856532</v>
          </cell>
          <cell r="E55">
            <v>29161064946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544026624</v>
          </cell>
          <cell r="D58">
            <v>149110631</v>
          </cell>
          <cell r="E58">
            <v>394915993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16195765</v>
          </cell>
          <cell r="D59">
            <v>16192143</v>
          </cell>
          <cell r="E59">
            <v>3622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5388876</v>
          </cell>
          <cell r="D60">
            <v>3450642</v>
          </cell>
          <cell r="E60">
            <v>1938234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16526413</v>
          </cell>
          <cell r="D61">
            <v>16526413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535179764</v>
          </cell>
          <cell r="D62">
            <v>285636715</v>
          </cell>
          <cell r="E62">
            <v>249543049</v>
          </cell>
        </row>
        <row r="63">
          <cell r="A63" t="str">
            <v>29</v>
          </cell>
          <cell r="B63" t="str">
            <v>Жами мажбуриятлар</v>
          </cell>
          <cell r="C63">
            <v>53423409474</v>
          </cell>
          <cell r="D63">
            <v>18822852749</v>
          </cell>
          <cell r="E63">
            <v>34600556725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7164950774</v>
          </cell>
          <cell r="D67">
            <v>7164950774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7164950774</v>
          </cell>
          <cell r="D68">
            <v>7164950774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3741145</v>
          </cell>
          <cell r="D70">
            <v>3741145</v>
          </cell>
          <cell r="E70"/>
        </row>
        <row r="71">
          <cell r="A71" t="str">
            <v>32</v>
          </cell>
          <cell r="B71" t="str">
            <v>Захира капитали</v>
          </cell>
          <cell r="C71">
            <v>152130761</v>
          </cell>
          <cell r="D71">
            <v>152130761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122740418</v>
          </cell>
          <cell r="D72">
            <v>122740418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29390343</v>
          </cell>
          <cell r="D74">
            <v>29390343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741915426</v>
          </cell>
          <cell r="D75">
            <v>741915426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47422205</v>
          </cell>
          <cell r="D76">
            <v>47422205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8062738106</v>
          </cell>
          <cell r="D77">
            <v>8062738106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61486147580</v>
          </cell>
          <cell r="D78">
            <v>26885590855</v>
          </cell>
          <cell r="E78">
            <v>34600556725</v>
          </cell>
        </row>
        <row r="79">
          <cell r="A79"/>
          <cell r="B79"/>
          <cell r="C79"/>
          <cell r="D79"/>
          <cell r="E79"/>
        </row>
        <row r="80">
          <cell r="A80"/>
          <cell r="B80"/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/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28145768</v>
          </cell>
        </row>
        <row r="7">
          <cell r="B7" t="str">
            <v>Бошқа банклардаги ҳисобварақлар бўйича фоизли даромадлар</v>
          </cell>
          <cell r="C7">
            <v>134372789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1947918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89048196</v>
          </cell>
        </row>
        <row r="10">
          <cell r="B10" t="str">
            <v>Мижозларнинг мажбуриятлари бўйича ҳисобланган фоизлар</v>
          </cell>
          <cell r="C10">
            <v>17041968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2319844189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25304896</v>
          </cell>
        </row>
        <row r="15">
          <cell r="B15" t="str">
            <v>Жами фоизли даромадлар</v>
          </cell>
          <cell r="C15">
            <v>2615705724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9245607</v>
          </cell>
        </row>
        <row r="19">
          <cell r="B19" t="str">
            <v>Муддатли депозитлар бўйича фоизли харажатлар</v>
          </cell>
          <cell r="C19">
            <v>1192593773</v>
          </cell>
        </row>
        <row r="20">
          <cell r="B20" t="str">
            <v>Марказий банкнинг ҳисобварақлари бўйича фоизли харажатлар</v>
          </cell>
          <cell r="C20">
            <v>197260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129505290</v>
          </cell>
        </row>
        <row r="22">
          <cell r="B22" t="str">
            <v>Жами депозитлар бўйича фоизли харажатлар</v>
          </cell>
          <cell r="C22">
            <v>1331541930</v>
          </cell>
        </row>
        <row r="23">
          <cell r="B23" t="str">
            <v>Кредитлар бўйича фоизли харажатлар</v>
          </cell>
          <cell r="C23">
            <v>798644256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</row>
        <row r="25">
          <cell r="B25" t="str">
            <v>Бошқа фоизли харажатлар</v>
          </cell>
          <cell r="C25">
            <v>41251491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839895747</v>
          </cell>
        </row>
        <row r="27">
          <cell r="B27" t="str">
            <v>Жами фоизли харажатлар</v>
          </cell>
          <cell r="C27">
            <v>2171437677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444268047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359285113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94098462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-9115528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220019605</v>
          </cell>
        </row>
        <row r="38">
          <cell r="B38" t="str">
            <v>Хорижий валюталардаги фойда</v>
          </cell>
          <cell r="C38">
            <v>184206398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35588920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264011173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5109005</v>
          </cell>
        </row>
        <row r="43">
          <cell r="B43" t="str">
            <v>Бошқа фоизсиз даромадлар</v>
          </cell>
          <cell r="C43">
            <v>166630481</v>
          </cell>
        </row>
        <row r="44">
          <cell r="B44" t="str">
            <v>Жами фоизсиз даромадлар</v>
          </cell>
          <cell r="C44">
            <v>875565582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146186712</v>
          </cell>
        </row>
        <row r="48">
          <cell r="B48" t="str">
            <v>Хорижий валютада кўрилган зарарлар</v>
          </cell>
          <cell r="C48">
            <v>84309489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3877845</v>
          </cell>
        </row>
        <row r="52">
          <cell r="B52" t="str">
            <v>Жами фоизсиз харажатлар</v>
          </cell>
          <cell r="C52">
            <v>234374046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632076008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335324831</v>
          </cell>
        </row>
        <row r="58">
          <cell r="B58" t="str">
            <v xml:space="preserve">шундан, раҳбар ходимларга тўловлар </v>
          </cell>
          <cell r="C58">
            <v>4156145</v>
          </cell>
        </row>
        <row r="59">
          <cell r="B59" t="str">
            <v>Ижара ва таъминот харажатлари</v>
          </cell>
          <cell r="C59">
            <v>38866026</v>
          </cell>
        </row>
        <row r="60">
          <cell r="B60" t="str">
            <v>Хизмат сафари ва транспорт харажатлари</v>
          </cell>
          <cell r="C60">
            <v>9217844</v>
          </cell>
        </row>
        <row r="61">
          <cell r="B61" t="str">
            <v>Маъмурий харажатлар</v>
          </cell>
          <cell r="C61">
            <v>16678163</v>
          </cell>
        </row>
        <row r="62">
          <cell r="B62" t="str">
            <v>Репрезентация ва хайрия</v>
          </cell>
          <cell r="C62">
            <v>30240364</v>
          </cell>
        </row>
        <row r="63">
          <cell r="B63" t="str">
            <v>Эскириш харажатлари</v>
          </cell>
          <cell r="C63">
            <v>48126454</v>
          </cell>
        </row>
        <row r="64">
          <cell r="B64" t="str">
            <v>Суғурта харажатлари</v>
          </cell>
          <cell r="C64">
            <v>1879577</v>
          </cell>
        </row>
        <row r="65">
          <cell r="B65" t="str">
            <v>Солиқлар (фойда солиғидан ташқари) ва лицензиялар</v>
          </cell>
          <cell r="C65">
            <v>74869920</v>
          </cell>
        </row>
        <row r="66">
          <cell r="B66" t="str">
            <v>Жарима ва пенялар</v>
          </cell>
          <cell r="C66">
            <v>1544373</v>
          </cell>
        </row>
        <row r="67">
          <cell r="B67" t="str">
            <v>Бошқа операцион харажатлар</v>
          </cell>
          <cell r="C67">
            <v>9262313</v>
          </cell>
        </row>
        <row r="68">
          <cell r="B68" t="str">
            <v>Жами операцион харажатлар</v>
          </cell>
          <cell r="C68">
            <v>566009865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66066143</v>
          </cell>
        </row>
        <row r="71">
          <cell r="B71" t="str">
            <v>Фойда солиғини баҳолаш</v>
          </cell>
          <cell r="C71">
            <v>18643938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47422205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47422205</v>
          </cell>
        </row>
        <row r="79">
          <cell r="B79"/>
          <cell r="C79"/>
        </row>
        <row r="80">
          <cell r="B80"/>
          <cell r="C80"/>
        </row>
        <row r="81">
          <cell r="B81"/>
          <cell r="C81"/>
        </row>
      </sheetData>
      <sheetData sheetId="2">
        <row r="7">
          <cell r="C7">
            <v>703274769</v>
          </cell>
        </row>
        <row r="9">
          <cell r="C9">
            <v>2197562924</v>
          </cell>
          <cell r="E9">
            <v>4243618230</v>
          </cell>
          <cell r="G9">
            <v>50027952</v>
          </cell>
        </row>
      </sheetData>
      <sheetData sheetId="3"/>
      <sheetData sheetId="4">
        <row r="7">
          <cell r="I7">
            <v>0.14381898710670957</v>
          </cell>
        </row>
        <row r="9">
          <cell r="I9">
            <v>0.13461257597670728</v>
          </cell>
        </row>
        <row r="11">
          <cell r="I11">
            <v>0.1345495143864264</v>
          </cell>
        </row>
        <row r="13">
          <cell r="I13">
            <v>0.11946860173542992</v>
          </cell>
        </row>
        <row r="16">
          <cell r="I16">
            <v>0.11222247349327265</v>
          </cell>
        </row>
        <row r="18">
          <cell r="I18">
            <v>1.9653861914550839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"/>
      <sheetName val="Bank Assets Analysis"/>
      <sheetName val="Bank Liabilities Analysis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166265927</v>
          </cell>
          <cell r="D5">
            <v>100313477</v>
          </cell>
          <cell r="E5">
            <v>65952450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454001678</v>
          </cell>
          <cell r="D6">
            <v>454001678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349203057</v>
          </cell>
          <cell r="D7">
            <v>102900929</v>
          </cell>
          <cell r="E7">
            <v>246302128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349203057</v>
          </cell>
          <cell r="D8">
            <v>102900929</v>
          </cell>
          <cell r="E8">
            <v>246302128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1742319109</v>
          </cell>
          <cell r="D10">
            <v>1742319109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1799345000</v>
          </cell>
          <cell r="D11">
            <v>1799345000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-57025891</v>
          </cell>
          <cell r="D12">
            <v>-57025891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100413821</v>
          </cell>
          <cell r="D17">
            <v>100413821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100413821</v>
          </cell>
          <cell r="D18">
            <v>100413821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7728999362</v>
          </cell>
          <cell r="D24">
            <v>5912177353</v>
          </cell>
          <cell r="E24">
            <v>1816822009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7789905860</v>
          </cell>
          <cell r="D25">
            <v>5969773075</v>
          </cell>
          <cell r="E25">
            <v>1820132785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60906498</v>
          </cell>
          <cell r="D26">
            <v>57595722</v>
          </cell>
          <cell r="E26">
            <v>3310776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147148335</v>
          </cell>
          <cell r="D30">
            <v>147148335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261945503</v>
          </cell>
          <cell r="D31">
            <v>234650931</v>
          </cell>
          <cell r="E31">
            <v>27294572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271778505</v>
          </cell>
          <cell r="D32">
            <v>244154181</v>
          </cell>
          <cell r="E32">
            <v>27624324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538456</v>
          </cell>
          <cell r="D33">
            <v>537815</v>
          </cell>
          <cell r="E33">
            <v>641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10371458</v>
          </cell>
          <cell r="D34">
            <v>10041065</v>
          </cell>
          <cell r="E34">
            <v>330393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13391869</v>
          </cell>
          <cell r="D35">
            <v>13391869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13274630</v>
          </cell>
          <cell r="D36">
            <v>13274630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661039</v>
          </cell>
          <cell r="D37">
            <v>661039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543800</v>
          </cell>
          <cell r="D38">
            <v>543800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77955545</v>
          </cell>
          <cell r="D39">
            <v>77955545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75879545</v>
          </cell>
          <cell r="D40">
            <v>75879545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2076000</v>
          </cell>
          <cell r="D42">
            <v>2076000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213969176</v>
          </cell>
          <cell r="D43">
            <v>208014432</v>
          </cell>
          <cell r="E43">
            <v>5954744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214784373</v>
          </cell>
          <cell r="D44">
            <v>208829629</v>
          </cell>
          <cell r="E44">
            <v>5954744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815197</v>
          </cell>
          <cell r="D45">
            <v>815197</v>
          </cell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11099702292</v>
          </cell>
          <cell r="D47">
            <v>8937376389</v>
          </cell>
          <cell r="E47">
            <v>2162325903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1011034083</v>
          </cell>
          <cell r="D50">
            <v>900114443</v>
          </cell>
          <cell r="E50">
            <v>110919640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3040650587</v>
          </cell>
          <cell r="D51">
            <v>2879788614</v>
          </cell>
          <cell r="E51">
            <v>160861973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52826579</v>
          </cell>
          <cell r="D52">
            <v>52826579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186681137</v>
          </cell>
          <cell r="D53">
            <v>171863141</v>
          </cell>
          <cell r="E53">
            <v>14817996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826757768</v>
          </cell>
          <cell r="D54">
            <v>826757768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3459473966</v>
          </cell>
          <cell r="D55">
            <v>2183646524</v>
          </cell>
          <cell r="E55">
            <v>1275827442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506165200</v>
          </cell>
          <cell r="D57">
            <v>0</v>
          </cell>
          <cell r="E57">
            <v>506165200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203186932</v>
          </cell>
          <cell r="D58">
            <v>165820901</v>
          </cell>
          <cell r="E58">
            <v>37366031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27728948</v>
          </cell>
          <cell r="D59">
            <v>27728948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467</v>
          </cell>
          <cell r="D60">
            <v>467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89482328</v>
          </cell>
          <cell r="D62">
            <v>68392688</v>
          </cell>
          <cell r="E62">
            <v>21089640</v>
          </cell>
        </row>
        <row r="63">
          <cell r="A63" t="str">
            <v>29</v>
          </cell>
          <cell r="B63" t="str">
            <v>Жами мажбуриятлар</v>
          </cell>
          <cell r="C63">
            <v>9403987995</v>
          </cell>
          <cell r="D63">
            <v>7276940073</v>
          </cell>
          <cell r="E63">
            <v>2127047922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266448</v>
          </cell>
          <cell r="D70">
            <v>266448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39864638</v>
          </cell>
          <cell r="D71">
            <v>39864638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39630469</v>
          </cell>
          <cell r="D72">
            <v>39630469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234169</v>
          </cell>
          <cell r="D74">
            <v>234169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1155583211</v>
          </cell>
          <cell r="D75">
            <v>1155583211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297960897</v>
          </cell>
          <cell r="D76">
            <v>297960897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1695714297</v>
          </cell>
          <cell r="D77">
            <v>1695714297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11099702292</v>
          </cell>
          <cell r="D78">
            <v>8972654370</v>
          </cell>
          <cell r="E78">
            <v>2127047922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3607438</v>
          </cell>
          <cell r="D6">
            <v>3607438</v>
          </cell>
        </row>
        <row r="7">
          <cell r="B7" t="str">
            <v>Бошқа банклардаги ҳисобварақлар бўйича фоизли даромадлар</v>
          </cell>
          <cell r="C7">
            <v>1769378</v>
          </cell>
          <cell r="D7">
            <v>203835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1438356</v>
          </cell>
          <cell r="D8">
            <v>1438356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119370985</v>
          </cell>
          <cell r="D9">
            <v>119370985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973881694</v>
          </cell>
          <cell r="D12">
            <v>853228309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514694</v>
          </cell>
          <cell r="D13">
            <v>514694</v>
          </cell>
        </row>
        <row r="14">
          <cell r="B14" t="str">
            <v>Бошқа фоизли даромадлар</v>
          </cell>
          <cell r="C14">
            <v>539295762</v>
          </cell>
          <cell r="D14">
            <v>528725552</v>
          </cell>
        </row>
        <row r="15">
          <cell r="B15" t="str">
            <v>Жами фоизли даромадлар</v>
          </cell>
          <cell r="C15">
            <v>1639878307</v>
          </cell>
          <cell r="D15">
            <v>1507089169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8767381</v>
          </cell>
          <cell r="D18">
            <v>8767381</v>
          </cell>
        </row>
        <row r="19">
          <cell r="B19" t="str">
            <v>Муддатли депозитлар бўйича фоизли харажатлар</v>
          </cell>
          <cell r="C19">
            <v>297613921</v>
          </cell>
          <cell r="D19">
            <v>292045426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14604402</v>
          </cell>
          <cell r="D21">
            <v>14043878</v>
          </cell>
        </row>
        <row r="22">
          <cell r="B22" t="str">
            <v>Жами депозитлар бўйича фоизли харажатлар</v>
          </cell>
          <cell r="C22">
            <v>320985704</v>
          </cell>
          <cell r="D22">
            <v>314856685</v>
          </cell>
        </row>
        <row r="23">
          <cell r="B23" t="str">
            <v>Кредитлар бўйича фоизли харажатлар</v>
          </cell>
          <cell r="C23">
            <v>263883627</v>
          </cell>
          <cell r="D23">
            <v>224009860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38163439</v>
          </cell>
          <cell r="D24">
            <v>38163439</v>
          </cell>
        </row>
        <row r="25">
          <cell r="B25" t="str">
            <v>Бошқа фоизли харажатлар</v>
          </cell>
          <cell r="C25">
            <v>551845072</v>
          </cell>
          <cell r="D25">
            <v>520527315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853892138</v>
          </cell>
          <cell r="D26">
            <v>782700614</v>
          </cell>
        </row>
        <row r="27">
          <cell r="B27" t="str">
            <v>Жами фоизли харажатлар</v>
          </cell>
          <cell r="C27">
            <v>1174877842</v>
          </cell>
          <cell r="D27">
            <v>1097557299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465000465</v>
          </cell>
          <cell r="D29">
            <v>409531870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75828267</v>
          </cell>
          <cell r="D30">
            <v>72469141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12349535</v>
          </cell>
          <cell r="D33">
            <v>12014624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376822663</v>
          </cell>
          <cell r="D34">
            <v>325048105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177220163</v>
          </cell>
          <cell r="D37">
            <v>174403643</v>
          </cell>
        </row>
        <row r="38">
          <cell r="B38" t="str">
            <v>Хорижий валюталардаги фойда</v>
          </cell>
          <cell r="C38">
            <v>170878202</v>
          </cell>
          <cell r="D38">
            <v>0</v>
          </cell>
        </row>
        <row r="39">
          <cell r="B39" t="str">
            <v>Тижорат операцияларидан олинган фойда</v>
          </cell>
          <cell r="C39">
            <v>270421</v>
          </cell>
          <cell r="D39">
            <v>270421</v>
          </cell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10256720</v>
          </cell>
          <cell r="D42">
            <v>10253143</v>
          </cell>
        </row>
        <row r="43">
          <cell r="B43" t="str">
            <v>Бошқа фоизсиз даромадлар</v>
          </cell>
          <cell r="C43">
            <v>1168847</v>
          </cell>
          <cell r="D43">
            <v>1168847</v>
          </cell>
        </row>
        <row r="44">
          <cell r="B44" t="str">
            <v>Жами фоизсиз даромадлар</v>
          </cell>
          <cell r="C44">
            <v>361194674</v>
          </cell>
          <cell r="D44">
            <v>187496375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58127103</v>
          </cell>
          <cell r="D47">
            <v>55358605</v>
          </cell>
        </row>
        <row r="48">
          <cell r="B48" t="str">
            <v>Хорижий валютада кўрилган зарарлар</v>
          </cell>
          <cell r="C48">
            <v>148190746</v>
          </cell>
          <cell r="D48">
            <v>8819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996623</v>
          </cell>
          <cell r="D51">
            <v>996623</v>
          </cell>
        </row>
        <row r="52">
          <cell r="B52" t="str">
            <v>Жами фоизсиз харажатлар</v>
          </cell>
          <cell r="C52">
            <v>207314472</v>
          </cell>
          <cell r="D52">
            <v>56364047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530702865</v>
          </cell>
          <cell r="D54">
            <v>456180433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124060989</v>
          </cell>
          <cell r="D57">
            <v>123995686</v>
          </cell>
        </row>
        <row r="58">
          <cell r="B58" t="str">
            <v xml:space="preserve">шундан, раҳбар ходимларга тўловлар </v>
          </cell>
          <cell r="C58">
            <v>647736</v>
          </cell>
          <cell r="D58">
            <v>647736</v>
          </cell>
        </row>
        <row r="59">
          <cell r="B59" t="str">
            <v>Ижара ва таъминот харажатлари</v>
          </cell>
          <cell r="C59">
            <v>13783817</v>
          </cell>
          <cell r="D59">
            <v>13783817</v>
          </cell>
        </row>
        <row r="60">
          <cell r="B60" t="str">
            <v>Хизмат сафари ва транспорт харажатлари</v>
          </cell>
          <cell r="C60">
            <v>1111548</v>
          </cell>
          <cell r="D60">
            <v>1017763</v>
          </cell>
        </row>
        <row r="61">
          <cell r="B61" t="str">
            <v>Маъмурий харажатлар</v>
          </cell>
          <cell r="C61">
            <v>12488474</v>
          </cell>
          <cell r="D61">
            <v>12252514</v>
          </cell>
        </row>
        <row r="62">
          <cell r="B62" t="str">
            <v>Репрезентация ва хайрия</v>
          </cell>
          <cell r="C62">
            <v>10059664</v>
          </cell>
          <cell r="D62">
            <v>10059664</v>
          </cell>
        </row>
        <row r="63">
          <cell r="B63" t="str">
            <v>Эскириш харажатлари</v>
          </cell>
          <cell r="C63">
            <v>10769162</v>
          </cell>
          <cell r="D63">
            <v>10769162</v>
          </cell>
        </row>
        <row r="64">
          <cell r="B64" t="str">
            <v>Суғурта харажатлари</v>
          </cell>
          <cell r="C64">
            <v>2748125</v>
          </cell>
          <cell r="D64">
            <v>2748125</v>
          </cell>
        </row>
        <row r="65">
          <cell r="B65" t="str">
            <v>Солиқлар (фойда солиғидан ташқари) ва лицензиялар</v>
          </cell>
          <cell r="C65">
            <v>428121</v>
          </cell>
          <cell r="D65">
            <v>428121</v>
          </cell>
        </row>
        <row r="66">
          <cell r="B66" t="str">
            <v>Жарима ва пенялар</v>
          </cell>
          <cell r="C66">
            <v>32906</v>
          </cell>
          <cell r="D66">
            <v>32906</v>
          </cell>
        </row>
        <row r="67">
          <cell r="B67" t="str">
            <v>Бошқа операцион харажатлар</v>
          </cell>
          <cell r="C67">
            <v>2230606</v>
          </cell>
          <cell r="D67">
            <v>1837423</v>
          </cell>
        </row>
        <row r="68">
          <cell r="B68" t="str">
            <v>Жами операцион харажатлар</v>
          </cell>
          <cell r="C68">
            <v>177713412</v>
          </cell>
          <cell r="D68">
            <v>176925181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352989453</v>
          </cell>
          <cell r="D70">
            <v>279255252</v>
          </cell>
        </row>
        <row r="71">
          <cell r="B71" t="str">
            <v>Фойда солиғини баҳолаш</v>
          </cell>
          <cell r="C71">
            <v>55028556</v>
          </cell>
          <cell r="D71">
            <v>55028556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297960897</v>
          </cell>
          <cell r="D73">
            <v>224226696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297960897</v>
          </cell>
          <cell r="D77">
            <v>224226696</v>
          </cell>
        </row>
        <row r="79">
          <cell r="B79" t="str">
            <v>Бошқарув Раис имзоси:</v>
          </cell>
          <cell r="C79"/>
          <cell r="D79"/>
        </row>
        <row r="80">
          <cell r="B80"/>
          <cell r="C80"/>
          <cell r="D80"/>
        </row>
        <row r="81">
          <cell r="B81" t="str">
            <v>Бош бухгалтер имзоси:</v>
          </cell>
          <cell r="C81"/>
          <cell r="D81"/>
        </row>
      </sheetData>
      <sheetData sheetId="2">
        <row r="7">
          <cell r="C7">
            <v>154001678</v>
          </cell>
        </row>
        <row r="9">
          <cell r="C9">
            <v>267204938</v>
          </cell>
          <cell r="E9">
            <v>80000000</v>
          </cell>
          <cell r="G9">
            <v>0</v>
          </cell>
        </row>
      </sheetData>
      <sheetData sheetId="3"/>
      <sheetData sheetId="4">
        <row r="7">
          <cell r="I7">
            <v>0.15667278112835314</v>
          </cell>
        </row>
        <row r="9">
          <cell r="I9">
            <v>0.10126178610016619</v>
          </cell>
        </row>
        <row r="11">
          <cell r="I11">
            <v>0.10126178610016619</v>
          </cell>
        </row>
        <row r="13">
          <cell r="I13">
            <v>0.12546539115770869</v>
          </cell>
        </row>
        <row r="16">
          <cell r="I16">
            <v>0.16811347272101748</v>
          </cell>
        </row>
        <row r="18">
          <cell r="I18">
            <v>2.0623846911352466</v>
          </cell>
        </row>
        <row r="21">
          <cell r="I21">
            <v>1.1289891404799166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 "/>
      <sheetName val="Bank Assets Analysis"/>
      <sheetName val="Bank Liabilities Analysis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1983683222</v>
          </cell>
          <cell r="D5">
            <v>620955777</v>
          </cell>
          <cell r="E5">
            <v>1362727445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1445047765</v>
          </cell>
          <cell r="D6">
            <v>1394258419</v>
          </cell>
          <cell r="E6">
            <v>50789346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4558883055</v>
          </cell>
          <cell r="D7">
            <v>1796597358</v>
          </cell>
          <cell r="E7">
            <v>2762285697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4562093144</v>
          </cell>
          <cell r="D8">
            <v>1796597358</v>
          </cell>
          <cell r="E8">
            <v>2765495786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3210089</v>
          </cell>
          <cell r="D9">
            <v>0</v>
          </cell>
          <cell r="E9">
            <v>3210089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1718688519</v>
          </cell>
          <cell r="D10">
            <v>1655417869</v>
          </cell>
          <cell r="E10">
            <v>63270650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1767700650</v>
          </cell>
          <cell r="D11">
            <v>1704430000</v>
          </cell>
          <cell r="E11">
            <v>63270650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-49012131</v>
          </cell>
          <cell r="D12">
            <v>-49012131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214748822</v>
          </cell>
          <cell r="D17">
            <v>92975340</v>
          </cell>
          <cell r="E17">
            <v>121773482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219516640</v>
          </cell>
          <cell r="D18">
            <v>92975340</v>
          </cell>
          <cell r="E18">
            <v>126541300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-4767818</v>
          </cell>
          <cell r="D19">
            <v>0</v>
          </cell>
          <cell r="E19">
            <v>-4767818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194810488</v>
          </cell>
          <cell r="D21">
            <v>194810488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194810488</v>
          </cell>
          <cell r="D22">
            <v>194810488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20400378637</v>
          </cell>
          <cell r="D24">
            <v>13471942689</v>
          </cell>
          <cell r="E24">
            <v>6928435948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20841993872</v>
          </cell>
          <cell r="D25">
            <v>13772692830</v>
          </cell>
          <cell r="E25">
            <v>7069301042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441615235</v>
          </cell>
          <cell r="D26">
            <v>300750141</v>
          </cell>
          <cell r="E26">
            <v>140865094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587371276</v>
          </cell>
          <cell r="D30">
            <v>587371276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276498567</v>
          </cell>
          <cell r="D31">
            <v>227594515</v>
          </cell>
          <cell r="E31">
            <v>48904052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285546858</v>
          </cell>
          <cell r="D32">
            <v>237328875</v>
          </cell>
          <cell r="E32">
            <v>48217983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15926282</v>
          </cell>
          <cell r="D33">
            <v>11694293</v>
          </cell>
          <cell r="E33">
            <v>4231989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24974573</v>
          </cell>
          <cell r="D34">
            <v>21428653</v>
          </cell>
          <cell r="E34">
            <v>3545920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44165458</v>
          </cell>
          <cell r="D35">
            <v>44165458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14422097</v>
          </cell>
          <cell r="D36">
            <v>14422097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33611242</v>
          </cell>
          <cell r="D37">
            <v>33611242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3867881</v>
          </cell>
          <cell r="D38">
            <v>3867881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229490275</v>
          </cell>
          <cell r="D39">
            <v>229490275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167723793</v>
          </cell>
          <cell r="D40">
            <v>167723793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59925202</v>
          </cell>
          <cell r="D41">
            <v>59925202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1841280</v>
          </cell>
          <cell r="D42">
            <v>1841280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943769642</v>
          </cell>
          <cell r="D43">
            <v>256089169</v>
          </cell>
          <cell r="E43">
            <v>687680473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961125263</v>
          </cell>
          <cell r="D44">
            <v>263377157</v>
          </cell>
          <cell r="E44">
            <v>697748106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17355621</v>
          </cell>
          <cell r="D45">
            <v>7287988</v>
          </cell>
          <cell r="E45">
            <v>10067633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32138555176</v>
          </cell>
          <cell r="D47">
            <v>20112688083</v>
          </cell>
          <cell r="E47">
            <v>12025867093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5503036766</v>
          </cell>
          <cell r="D50">
            <v>3986730951</v>
          </cell>
          <cell r="E50">
            <v>1516305815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7223431931</v>
          </cell>
          <cell r="D51">
            <v>5883420740</v>
          </cell>
          <cell r="E51">
            <v>1340011191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30773068</v>
          </cell>
          <cell r="D52">
            <v>30773068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2588364508</v>
          </cell>
          <cell r="D53">
            <v>93307370</v>
          </cell>
          <cell r="E53">
            <v>2495057138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9210864458</v>
          </cell>
          <cell r="D55">
            <v>3546865357</v>
          </cell>
          <cell r="E55">
            <v>5663999101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593965590</v>
          </cell>
          <cell r="D57">
            <v>53007700</v>
          </cell>
          <cell r="E57">
            <v>540957890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405034552</v>
          </cell>
          <cell r="D58">
            <v>268423697</v>
          </cell>
          <cell r="E58">
            <v>136610855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2230138</v>
          </cell>
          <cell r="D59">
            <v>2230138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6638531</v>
          </cell>
          <cell r="D60">
            <v>6325342</v>
          </cell>
          <cell r="E60">
            <v>313189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16484401</v>
          </cell>
          <cell r="D61">
            <v>16484401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589531207</v>
          </cell>
          <cell r="D62">
            <v>217262668</v>
          </cell>
          <cell r="E62">
            <v>372268539</v>
          </cell>
        </row>
        <row r="63">
          <cell r="A63" t="str">
            <v>29</v>
          </cell>
          <cell r="B63" t="str">
            <v>Жами мажбуриятлар</v>
          </cell>
          <cell r="C63">
            <v>26170355150</v>
          </cell>
          <cell r="D63">
            <v>14104831432</v>
          </cell>
          <cell r="E63">
            <v>12065523718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646648980</v>
          </cell>
          <cell r="D67">
            <v>646648980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626446230</v>
          </cell>
          <cell r="D68">
            <v>626446230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20202750</v>
          </cell>
          <cell r="D69">
            <v>20202750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77751387</v>
          </cell>
          <cell r="D70">
            <v>77751387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1459320486</v>
          </cell>
          <cell r="D71">
            <v>1459320486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1458376213</v>
          </cell>
          <cell r="D72">
            <v>1458376213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944273</v>
          </cell>
          <cell r="D74">
            <v>944273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3784479173</v>
          </cell>
          <cell r="D75">
            <v>3784479173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806796995</v>
          </cell>
          <cell r="D76">
            <v>806796995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5968200026</v>
          </cell>
          <cell r="D77">
            <v>5968200026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32138555176</v>
          </cell>
          <cell r="D78">
            <v>20073031458</v>
          </cell>
          <cell r="E78">
            <v>12065523718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60390753</v>
          </cell>
          <cell r="D6">
            <v>60390753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143138194</v>
          </cell>
          <cell r="D7">
            <v>64652356</v>
          </cell>
          <cell r="E7">
            <v>78485838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155115223</v>
          </cell>
          <cell r="D8">
            <v>155115223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15137622</v>
          </cell>
          <cell r="D9">
            <v>8769433</v>
          </cell>
          <cell r="E9">
            <v>6368189</v>
          </cell>
        </row>
        <row r="10">
          <cell r="B10" t="str">
            <v>Мижозларнинг мажбуриятлари бўйича ҳисобланган фоизлар</v>
          </cell>
          <cell r="C10">
            <v>427015</v>
          </cell>
          <cell r="D10">
            <v>0</v>
          </cell>
          <cell r="E10">
            <v>427015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2060038238</v>
          </cell>
          <cell r="D12">
            <v>1682405957</v>
          </cell>
          <cell r="E12">
            <v>377632281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27945099</v>
          </cell>
          <cell r="D13">
            <v>27945099</v>
          </cell>
          <cell r="E13">
            <v>0</v>
          </cell>
        </row>
        <row r="14">
          <cell r="B14" t="str">
            <v>Бошқа фоизли даромадлар</v>
          </cell>
          <cell r="C14">
            <v>1644172</v>
          </cell>
          <cell r="D14">
            <v>38597</v>
          </cell>
          <cell r="E14">
            <v>1605575</v>
          </cell>
        </row>
        <row r="15">
          <cell r="B15" t="str">
            <v>Жами фоизли даромадлар</v>
          </cell>
          <cell r="C15">
            <v>2463836316</v>
          </cell>
          <cell r="D15">
            <v>1999317418</v>
          </cell>
          <cell r="E15">
            <v>464518898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331200</v>
          </cell>
          <cell r="D18">
            <v>165496</v>
          </cell>
          <cell r="E18">
            <v>165704</v>
          </cell>
        </row>
        <row r="19">
          <cell r="B19" t="str">
            <v>Муддатли депозитлар бўйича фоизли харажатлар</v>
          </cell>
          <cell r="C19">
            <v>613136202</v>
          </cell>
          <cell r="D19">
            <v>579364797</v>
          </cell>
          <cell r="E19">
            <v>33771405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20909751</v>
          </cell>
          <cell r="D21">
            <v>674942</v>
          </cell>
          <cell r="E21">
            <v>20234809</v>
          </cell>
        </row>
        <row r="22">
          <cell r="B22" t="str">
            <v>Жами депозитлар бўйича фоизли харажатлар</v>
          </cell>
          <cell r="C22">
            <v>634377153</v>
          </cell>
          <cell r="D22">
            <v>580205235</v>
          </cell>
          <cell r="E22">
            <v>54171918</v>
          </cell>
        </row>
        <row r="23">
          <cell r="B23" t="str">
            <v>Кредитлар бўйича фоизли харажатлар</v>
          </cell>
          <cell r="C23">
            <v>498787134</v>
          </cell>
          <cell r="D23">
            <v>311415063</v>
          </cell>
          <cell r="E23">
            <v>187372071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84583</v>
          </cell>
          <cell r="D24">
            <v>84583</v>
          </cell>
          <cell r="E24">
            <v>0</v>
          </cell>
        </row>
        <row r="25">
          <cell r="B25" t="str">
            <v>Бошқа фоизли харажатлар</v>
          </cell>
          <cell r="C25">
            <v>201034378</v>
          </cell>
          <cell r="D25">
            <v>173334013</v>
          </cell>
          <cell r="E25">
            <v>27700365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699906095</v>
          </cell>
          <cell r="D26">
            <v>484833659</v>
          </cell>
          <cell r="E26">
            <v>215072436</v>
          </cell>
        </row>
        <row r="27">
          <cell r="B27" t="str">
            <v>Жами фоизли харажатлар</v>
          </cell>
          <cell r="C27">
            <v>1334283248</v>
          </cell>
          <cell r="D27">
            <v>1065038894</v>
          </cell>
          <cell r="E27">
            <v>269244354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1129553068</v>
          </cell>
          <cell r="D29">
            <v>934278524</v>
          </cell>
          <cell r="E29">
            <v>195274544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395254654</v>
          </cell>
          <cell r="D30">
            <v>292727952</v>
          </cell>
          <cell r="E30">
            <v>102526702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57405436</v>
          </cell>
          <cell r="D33">
            <v>44823280</v>
          </cell>
          <cell r="E33">
            <v>12582156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676892978</v>
          </cell>
          <cell r="D34">
            <v>596727292</v>
          </cell>
          <cell r="E34">
            <v>80165686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531051538</v>
          </cell>
          <cell r="D37">
            <v>363417564</v>
          </cell>
          <cell r="E37">
            <v>167633974</v>
          </cell>
        </row>
        <row r="38">
          <cell r="B38" t="str">
            <v>Хорижий валюталардаги фойда</v>
          </cell>
          <cell r="C38">
            <v>1160167645</v>
          </cell>
          <cell r="D38">
            <v>90059369</v>
          </cell>
          <cell r="E38">
            <v>1070108276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26286973</v>
          </cell>
          <cell r="D41">
            <v>23645845</v>
          </cell>
          <cell r="E41">
            <v>2641128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315313557</v>
          </cell>
          <cell r="D42">
            <v>119515105</v>
          </cell>
          <cell r="E42">
            <v>195798452</v>
          </cell>
        </row>
        <row r="43">
          <cell r="B43" t="str">
            <v>Бошқа фоизсиз даромадлар</v>
          </cell>
          <cell r="C43">
            <v>66268912</v>
          </cell>
          <cell r="D43">
            <v>55524991</v>
          </cell>
          <cell r="E43">
            <v>10743921</v>
          </cell>
        </row>
        <row r="44">
          <cell r="B44" t="str">
            <v>Жами фоизсиз даромадлар</v>
          </cell>
          <cell r="C44">
            <v>2100488946</v>
          </cell>
          <cell r="D44">
            <v>653563195</v>
          </cell>
          <cell r="E44">
            <v>1446925751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209785079</v>
          </cell>
          <cell r="D47">
            <v>98222779</v>
          </cell>
          <cell r="E47">
            <v>111562300</v>
          </cell>
        </row>
        <row r="48">
          <cell r="B48" t="str">
            <v>Хорижий валютада кўрилган зарарлар</v>
          </cell>
          <cell r="C48">
            <v>748321696</v>
          </cell>
          <cell r="D48">
            <v>106508546</v>
          </cell>
          <cell r="E48">
            <v>641813150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1049218</v>
          </cell>
          <cell r="D51">
            <v>1049218</v>
          </cell>
          <cell r="E51">
            <v>0</v>
          </cell>
        </row>
        <row r="52">
          <cell r="B52" t="str">
            <v>Жами фоизсиз харажатлар</v>
          </cell>
          <cell r="C52">
            <v>959155993</v>
          </cell>
          <cell r="D52">
            <v>205780543</v>
          </cell>
          <cell r="E52">
            <v>753375450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1818225931</v>
          </cell>
          <cell r="D54">
            <v>1044509944</v>
          </cell>
          <cell r="E54">
            <v>773715987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569042246</v>
          </cell>
          <cell r="D57">
            <v>569042246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1561332</v>
          </cell>
          <cell r="D58">
            <v>1561332</v>
          </cell>
          <cell r="E58"/>
        </row>
        <row r="59">
          <cell r="B59" t="str">
            <v>Ижара ва таъминот харажатлари</v>
          </cell>
          <cell r="C59">
            <v>63075165</v>
          </cell>
          <cell r="D59">
            <v>63075165</v>
          </cell>
          <cell r="E59"/>
        </row>
        <row r="60">
          <cell r="B60" t="str">
            <v>Хизмат сафари ва транспорт харажатлари</v>
          </cell>
          <cell r="C60">
            <v>6226013</v>
          </cell>
          <cell r="D60">
            <v>6226013</v>
          </cell>
          <cell r="E60"/>
        </row>
        <row r="61">
          <cell r="B61" t="str">
            <v>Маъмурий харажатлар</v>
          </cell>
          <cell r="C61">
            <v>38489427</v>
          </cell>
          <cell r="D61">
            <v>38489427</v>
          </cell>
          <cell r="E61"/>
        </row>
        <row r="62">
          <cell r="B62" t="str">
            <v>Репрезентация ва хайрия</v>
          </cell>
          <cell r="C62">
            <v>41125191</v>
          </cell>
          <cell r="D62">
            <v>41125191</v>
          </cell>
          <cell r="E62"/>
        </row>
        <row r="63">
          <cell r="B63" t="str">
            <v>Эскириш харажатлари</v>
          </cell>
          <cell r="C63">
            <v>46549139</v>
          </cell>
          <cell r="D63">
            <v>46549139</v>
          </cell>
          <cell r="E63"/>
        </row>
        <row r="64">
          <cell r="B64" t="str">
            <v>Суғурта харажатлари</v>
          </cell>
          <cell r="C64">
            <v>672061</v>
          </cell>
          <cell r="D64">
            <v>672061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8895534</v>
          </cell>
          <cell r="D65">
            <v>8895534</v>
          </cell>
          <cell r="E65"/>
        </row>
        <row r="66">
          <cell r="B66" t="str">
            <v>Жарима ва пенялар</v>
          </cell>
          <cell r="C66">
            <v>95000</v>
          </cell>
          <cell r="D66">
            <v>95000</v>
          </cell>
          <cell r="E66"/>
        </row>
        <row r="67">
          <cell r="B67" t="str">
            <v>Бошқа операцион харажатлар</v>
          </cell>
          <cell r="C67">
            <v>57976564</v>
          </cell>
          <cell r="D67">
            <v>57976564</v>
          </cell>
          <cell r="E67"/>
        </row>
        <row r="68">
          <cell r="B68" t="str">
            <v>Жами операцион харажатлар</v>
          </cell>
          <cell r="C68">
            <v>832146340</v>
          </cell>
          <cell r="D68">
            <v>832146340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986079591</v>
          </cell>
          <cell r="D70">
            <v>212363604</v>
          </cell>
          <cell r="E70">
            <v>773715987</v>
          </cell>
        </row>
        <row r="71">
          <cell r="B71" t="str">
            <v>Фойда солиғини баҳолаш</v>
          </cell>
          <cell r="C71">
            <v>179282596</v>
          </cell>
          <cell r="D71">
            <v>179282596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806796995</v>
          </cell>
          <cell r="D73">
            <v>33081008</v>
          </cell>
          <cell r="E73">
            <v>773715987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806796995</v>
          </cell>
          <cell r="D77">
            <v>33081008</v>
          </cell>
          <cell r="E77">
            <v>773715987</v>
          </cell>
        </row>
        <row r="79">
          <cell r="B79" t="str">
            <v>Бошқарув Раис имзоси:</v>
          </cell>
          <cell r="C79"/>
          <cell r="D79"/>
          <cell r="E79"/>
        </row>
        <row r="80">
          <cell r="B80"/>
          <cell r="C80"/>
          <cell r="D80"/>
          <cell r="E80"/>
        </row>
        <row r="81">
          <cell r="B81" t="str">
            <v>Бош бухгалтер имзоси:</v>
          </cell>
          <cell r="C81"/>
          <cell r="D81"/>
          <cell r="E81"/>
        </row>
      </sheetData>
      <sheetData sheetId="2">
        <row r="7">
          <cell r="C7">
            <v>445047765</v>
          </cell>
        </row>
        <row r="9">
          <cell r="C9">
            <v>347010605</v>
          </cell>
          <cell r="E9">
            <v>1429513985</v>
          </cell>
          <cell r="G9">
            <v>1309807440</v>
          </cell>
        </row>
      </sheetData>
      <sheetData sheetId="3"/>
      <sheetData sheetId="4">
        <row r="7">
          <cell r="I7">
            <v>0.18159221693770922</v>
          </cell>
        </row>
        <row r="9">
          <cell r="I9">
            <v>0.14190473315457175</v>
          </cell>
        </row>
        <row r="11">
          <cell r="I11">
            <v>0.14134918838962343</v>
          </cell>
        </row>
        <row r="13">
          <cell r="I13">
            <v>0.15214038923622694</v>
          </cell>
        </row>
        <row r="16">
          <cell r="I16">
            <v>0.18783965744384651</v>
          </cell>
        </row>
        <row r="18">
          <cell r="I18">
            <v>2.0834795988125476</v>
          </cell>
        </row>
        <row r="21">
          <cell r="I21">
            <v>1.1463356393060558</v>
          </cell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687742198</v>
          </cell>
          <cell r="D5">
            <v>451633427</v>
          </cell>
          <cell r="E5">
            <v>236108771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1183197206</v>
          </cell>
          <cell r="D6">
            <v>641780288</v>
          </cell>
          <cell r="E6">
            <v>541416918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50797820</v>
          </cell>
          <cell r="D7">
            <v>19985219</v>
          </cell>
          <cell r="E7">
            <v>30812601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51110185</v>
          </cell>
          <cell r="D8">
            <v>20297435</v>
          </cell>
          <cell r="E8">
            <v>30812750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312365</v>
          </cell>
          <cell r="D9">
            <v>312216</v>
          </cell>
          <cell r="E9">
            <v>149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492418978</v>
          </cell>
          <cell r="D10">
            <v>492418978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500000000</v>
          </cell>
          <cell r="D11">
            <v>500000000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-7581022</v>
          </cell>
          <cell r="D12">
            <v>-7581022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19848</v>
          </cell>
          <cell r="D14">
            <v>19848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19848</v>
          </cell>
          <cell r="D15">
            <v>19848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27238142</v>
          </cell>
          <cell r="D17">
            <v>27238142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27238142</v>
          </cell>
          <cell r="D18">
            <v>27238142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8178052169</v>
          </cell>
          <cell r="D24">
            <v>5329397476</v>
          </cell>
          <cell r="E24">
            <v>2848654693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8208912774</v>
          </cell>
          <cell r="D25">
            <v>5352248653</v>
          </cell>
          <cell r="E25">
            <v>2856664121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30860605</v>
          </cell>
          <cell r="D26">
            <v>22851177</v>
          </cell>
          <cell r="E26">
            <v>8009428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767718969</v>
          </cell>
          <cell r="D30">
            <v>767718969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410502072</v>
          </cell>
          <cell r="D31">
            <v>332129593</v>
          </cell>
          <cell r="E31">
            <v>78372479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326620320</v>
          </cell>
          <cell r="D32">
            <v>251120848</v>
          </cell>
          <cell r="E32">
            <v>75499472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94012198</v>
          </cell>
          <cell r="D33">
            <v>90738954</v>
          </cell>
          <cell r="E33">
            <v>3273244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10130446</v>
          </cell>
          <cell r="D34">
            <v>9730209</v>
          </cell>
          <cell r="E34">
            <v>400237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117722575</v>
          </cell>
          <cell r="D35">
            <v>117722575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69751565</v>
          </cell>
          <cell r="D36">
            <v>69751565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49796210</v>
          </cell>
          <cell r="D37">
            <v>49796210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1825200</v>
          </cell>
          <cell r="D38">
            <v>1825200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90129379</v>
          </cell>
          <cell r="D39">
            <v>90129379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80583049</v>
          </cell>
          <cell r="D40">
            <v>80583049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6022368</v>
          </cell>
          <cell r="D41">
            <v>6022368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3523962</v>
          </cell>
          <cell r="D42">
            <v>3523962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662526695</v>
          </cell>
          <cell r="D43">
            <v>542277897</v>
          </cell>
          <cell r="E43">
            <v>120248798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662526695</v>
          </cell>
          <cell r="D44">
            <v>542277897</v>
          </cell>
          <cell r="E44">
            <v>120248798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>
            <v>0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12487807293</v>
          </cell>
          <cell r="D47">
            <v>8632193033</v>
          </cell>
          <cell r="E47">
            <v>3855614260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1840692938</v>
          </cell>
          <cell r="D50">
            <v>1210231226</v>
          </cell>
          <cell r="E50">
            <v>630461712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7424618644</v>
          </cell>
          <cell r="D51">
            <v>5125815140</v>
          </cell>
          <cell r="E51">
            <v>2298803504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6485175</v>
          </cell>
          <cell r="D52">
            <v>6485175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455104603</v>
          </cell>
          <cell r="D53">
            <v>51110779</v>
          </cell>
          <cell r="E53">
            <v>403993824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595808308</v>
          </cell>
          <cell r="D55">
            <v>389911773</v>
          </cell>
          <cell r="E55">
            <v>205896535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411341860</v>
          </cell>
          <cell r="D57">
            <v>132951000</v>
          </cell>
          <cell r="E57">
            <v>278390860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84479305</v>
          </cell>
          <cell r="D58">
            <v>46190129</v>
          </cell>
          <cell r="E58">
            <v>38289176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11850357</v>
          </cell>
          <cell r="D59">
            <v>11850357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440614</v>
          </cell>
          <cell r="D60">
            <v>29117</v>
          </cell>
          <cell r="E60">
            <v>411497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9094891</v>
          </cell>
          <cell r="D61">
            <v>9094891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98336435</v>
          </cell>
          <cell r="D62">
            <v>78461268</v>
          </cell>
          <cell r="E62">
            <v>19875167</v>
          </cell>
        </row>
        <row r="63">
          <cell r="A63" t="str">
            <v>29</v>
          </cell>
          <cell r="B63" t="str">
            <v>Жами мажбуриятлар</v>
          </cell>
          <cell r="C63">
            <v>10938253130</v>
          </cell>
          <cell r="D63">
            <v>7062130855</v>
          </cell>
          <cell r="E63">
            <v>3876122275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948750000</v>
          </cell>
          <cell r="D67">
            <v>948750000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948750000</v>
          </cell>
          <cell r="D68">
            <v>948750000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1853400</v>
          </cell>
          <cell r="D70">
            <v>1853400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60722391</v>
          </cell>
          <cell r="D71">
            <v>60722391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60624042</v>
          </cell>
          <cell r="D72">
            <v>60624042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98349</v>
          </cell>
          <cell r="D74">
            <v>98349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538228372</v>
          </cell>
          <cell r="D75">
            <v>538228372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86876667</v>
          </cell>
          <cell r="D76">
            <v>86876667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1549554163</v>
          </cell>
          <cell r="D77">
            <v>1549554163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12487807293</v>
          </cell>
          <cell r="D78">
            <v>8611685018</v>
          </cell>
          <cell r="E78">
            <v>3876122275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2175502</v>
          </cell>
        </row>
        <row r="7">
          <cell r="B7" t="str">
            <v>Бошқа банклардаги ҳисобварақлар бўйича фоизли даромадлар</v>
          </cell>
          <cell r="C7">
            <v>6602454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45759241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826463240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3920860</v>
          </cell>
        </row>
        <row r="14">
          <cell r="B14" t="str">
            <v>Бошқа фоизли даромадлар</v>
          </cell>
          <cell r="C14">
            <v>178698712</v>
          </cell>
        </row>
        <row r="15">
          <cell r="B15" t="str">
            <v>Жами фоизли даромадлар</v>
          </cell>
          <cell r="C15">
            <v>1063620009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1242691</v>
          </cell>
        </row>
        <row r="19">
          <cell r="B19" t="str">
            <v>Муддатли депозитлар бўйича фоизли харажатлар</v>
          </cell>
          <cell r="C19">
            <v>561575435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7894314</v>
          </cell>
        </row>
        <row r="22">
          <cell r="B22" t="str">
            <v>Жами депозитлар бўйича фоизли харажатлар</v>
          </cell>
          <cell r="C22">
            <v>570712440</v>
          </cell>
        </row>
        <row r="23">
          <cell r="B23" t="str">
            <v>Кредитлар бўйича фоизли харажатлар</v>
          </cell>
          <cell r="C23">
            <v>33669559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5444416</v>
          </cell>
        </row>
        <row r="25">
          <cell r="B25" t="str">
            <v>Бошқа фоизли харажатлар</v>
          </cell>
          <cell r="C25">
            <v>190482513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229596488</v>
          </cell>
        </row>
        <row r="27">
          <cell r="B27" t="str">
            <v>Жами фоизли харажатлар</v>
          </cell>
          <cell r="C27">
            <v>800308928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263311081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26139330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18125531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219046220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248374823</v>
          </cell>
        </row>
        <row r="38">
          <cell r="B38" t="str">
            <v>Хорижий валюталардаги фойда</v>
          </cell>
          <cell r="C38">
            <v>92356624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1735443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2242916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9950271</v>
          </cell>
        </row>
        <row r="43">
          <cell r="B43" t="str">
            <v>Бошқа фоизсиз даромадлар</v>
          </cell>
          <cell r="C43">
            <v>17221704</v>
          </cell>
        </row>
        <row r="44">
          <cell r="B44" t="str">
            <v>Жами фоизсиз даромадлар</v>
          </cell>
          <cell r="C44">
            <v>371881781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65684362</v>
          </cell>
        </row>
        <row r="48">
          <cell r="B48" t="str">
            <v>Хорижий валютада кўрилган зарарлар</v>
          </cell>
          <cell r="C48">
            <v>31243263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1040571</v>
          </cell>
        </row>
        <row r="51">
          <cell r="B51" t="str">
            <v>Бошқа фоизсиз харажатлар</v>
          </cell>
          <cell r="C51">
            <v>656660</v>
          </cell>
        </row>
        <row r="52">
          <cell r="B52" t="str">
            <v>Жами фоизсиз харажатлар</v>
          </cell>
          <cell r="C52">
            <v>98624856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492303145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184366802</v>
          </cell>
        </row>
        <row r="58">
          <cell r="B58" t="str">
            <v xml:space="preserve">шундан, раҳбар ходимларга тўловлар </v>
          </cell>
          <cell r="C58">
            <v>5542223</v>
          </cell>
        </row>
        <row r="59">
          <cell r="B59" t="str">
            <v>Ижара ва таъминот харажатлари</v>
          </cell>
          <cell r="C59">
            <v>82259410</v>
          </cell>
        </row>
        <row r="60">
          <cell r="B60" t="str">
            <v>Хизмат сафари ва транспорт харажатлари</v>
          </cell>
          <cell r="C60">
            <v>2967190</v>
          </cell>
        </row>
        <row r="61">
          <cell r="B61" t="str">
            <v>Маъмурий харажатлар</v>
          </cell>
          <cell r="C61">
            <v>14679923</v>
          </cell>
        </row>
        <row r="62">
          <cell r="B62" t="str">
            <v>Репрезентация ва хайрия</v>
          </cell>
          <cell r="C62">
            <v>10369728</v>
          </cell>
        </row>
        <row r="63">
          <cell r="B63" t="str">
            <v>Эскириш харажатлари</v>
          </cell>
          <cell r="C63">
            <v>21031232</v>
          </cell>
        </row>
        <row r="64">
          <cell r="B64" t="str">
            <v>Суғурта харажатлари</v>
          </cell>
          <cell r="C64">
            <v>5916544</v>
          </cell>
        </row>
        <row r="65">
          <cell r="B65" t="str">
            <v>Солиқлар (фойда солиғидан ташқари) ва лицензиялар</v>
          </cell>
          <cell r="C65">
            <v>10586991</v>
          </cell>
        </row>
        <row r="66">
          <cell r="B66" t="str">
            <v>Жарима ва пенялар</v>
          </cell>
          <cell r="C66">
            <v>83605</v>
          </cell>
        </row>
        <row r="67">
          <cell r="B67" t="str">
            <v>Бошқа операцион харажатлар</v>
          </cell>
          <cell r="C67">
            <v>11491610</v>
          </cell>
        </row>
        <row r="68">
          <cell r="B68" t="str">
            <v>Жами операцион харажатлар</v>
          </cell>
          <cell r="C68">
            <v>343753035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148550110</v>
          </cell>
        </row>
        <row r="71">
          <cell r="B71" t="str">
            <v>Фойда солиғини баҳолаш</v>
          </cell>
          <cell r="C71">
            <v>11673443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136876667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136876667</v>
          </cell>
        </row>
      </sheetData>
      <sheetData sheetId="2">
        <row r="7">
          <cell r="C7">
            <v>883197206</v>
          </cell>
        </row>
        <row r="9">
          <cell r="C9">
            <v>50687820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0.15752221684998952</v>
          </cell>
        </row>
        <row r="9">
          <cell r="I9">
            <v>0.11227157749144298</v>
          </cell>
        </row>
        <row r="11">
          <cell r="I11">
            <v>0.11227157749144298</v>
          </cell>
        </row>
        <row r="13">
          <cell r="I13">
            <v>0.10490138807787618</v>
          </cell>
        </row>
        <row r="16">
          <cell r="I16">
            <v>0.19080310546877366</v>
          </cell>
        </row>
        <row r="18">
          <cell r="I18">
            <v>1.5237835188338238</v>
          </cell>
        </row>
        <row r="21">
          <cell r="I21">
            <v>1.2246645920712222</v>
          </cell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1612372069</v>
          </cell>
          <cell r="D5">
            <v>717581621</v>
          </cell>
          <cell r="E5">
            <v>894790448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564032717</v>
          </cell>
          <cell r="D6">
            <v>563991331</v>
          </cell>
          <cell r="E6">
            <v>41386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2599821253</v>
          </cell>
          <cell r="D7">
            <v>874848551</v>
          </cell>
          <cell r="E7">
            <v>1724972702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2599821253</v>
          </cell>
          <cell r="D8">
            <v>874848551</v>
          </cell>
          <cell r="E8">
            <v>1724972702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1799476762</v>
          </cell>
          <cell r="D10">
            <v>1557591937</v>
          </cell>
          <cell r="E10">
            <v>241884825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1832690712</v>
          </cell>
          <cell r="D11">
            <v>1589731416</v>
          </cell>
          <cell r="E11">
            <v>242959296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-30957744</v>
          </cell>
          <cell r="D12">
            <v>-29883273</v>
          </cell>
          <cell r="E12">
            <v>-1074471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2256206</v>
          </cell>
          <cell r="D13">
            <v>2256206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213</v>
          </cell>
          <cell r="D14">
            <v>213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213</v>
          </cell>
          <cell r="D15">
            <v>213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1226572547</v>
          </cell>
          <cell r="D17">
            <v>1226572547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1239717000</v>
          </cell>
          <cell r="D18">
            <v>1239717000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-13119453</v>
          </cell>
          <cell r="D19">
            <v>-13119453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25000</v>
          </cell>
          <cell r="D20">
            <v>25000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14596407488</v>
          </cell>
          <cell r="D24">
            <v>9133341949</v>
          </cell>
          <cell r="E24">
            <v>5463065539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14838659060</v>
          </cell>
          <cell r="D25">
            <v>9304206704</v>
          </cell>
          <cell r="E25">
            <v>5534452356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242251572</v>
          </cell>
          <cell r="D26">
            <v>170864755</v>
          </cell>
          <cell r="E26">
            <v>71386817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19580642</v>
          </cell>
          <cell r="D27">
            <v>0</v>
          </cell>
          <cell r="E27">
            <v>19580642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19580642</v>
          </cell>
          <cell r="D28">
            <v>0</v>
          </cell>
          <cell r="E28">
            <v>19580642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862118427</v>
          </cell>
          <cell r="D30">
            <v>862118427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362971285</v>
          </cell>
          <cell r="D31">
            <v>262419116</v>
          </cell>
          <cell r="E31">
            <v>100552169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346975428</v>
          </cell>
          <cell r="D32">
            <v>275078896</v>
          </cell>
          <cell r="E32">
            <v>71896532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33391621</v>
          </cell>
          <cell r="D33">
            <v>1336972</v>
          </cell>
          <cell r="E33">
            <v>32054649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17395764</v>
          </cell>
          <cell r="D34">
            <v>13996752</v>
          </cell>
          <cell r="E34">
            <v>3399012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80739623</v>
          </cell>
          <cell r="D35">
            <v>80739623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78660724</v>
          </cell>
          <cell r="D36">
            <v>78660724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2084132</v>
          </cell>
          <cell r="D37">
            <v>2084132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5233</v>
          </cell>
          <cell r="D38">
            <v>5233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176414405</v>
          </cell>
          <cell r="D39">
            <v>176414405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131003780</v>
          </cell>
          <cell r="D40">
            <v>131003780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42590975</v>
          </cell>
          <cell r="D41">
            <v>42590975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2819650</v>
          </cell>
          <cell r="D42">
            <v>2819650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728739696</v>
          </cell>
          <cell r="D43">
            <v>389993537</v>
          </cell>
          <cell r="E43">
            <v>338746159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729139397</v>
          </cell>
          <cell r="D44">
            <v>390393238</v>
          </cell>
          <cell r="E44">
            <v>338746159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399701</v>
          </cell>
          <cell r="D45">
            <v>399701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24276418317</v>
          </cell>
          <cell r="D47">
            <v>15492784447</v>
          </cell>
          <cell r="E47">
            <v>8783633870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7995639128</v>
          </cell>
          <cell r="D50">
            <v>4895135663</v>
          </cell>
          <cell r="E50">
            <v>3100503465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3886190047</v>
          </cell>
          <cell r="D51">
            <v>3670193684</v>
          </cell>
          <cell r="E51">
            <v>215996363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36577923</v>
          </cell>
          <cell r="D52">
            <v>36577923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207440911</v>
          </cell>
          <cell r="D53">
            <v>6595619</v>
          </cell>
          <cell r="E53">
            <v>200845292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500423894</v>
          </cell>
          <cell r="D54">
            <v>500423894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6901849579</v>
          </cell>
          <cell r="D55">
            <v>2113260934</v>
          </cell>
          <cell r="E55">
            <v>4788588645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233721450</v>
          </cell>
          <cell r="D57">
            <v>17320000</v>
          </cell>
          <cell r="E57">
            <v>216401450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166628013</v>
          </cell>
          <cell r="D58">
            <v>102535804</v>
          </cell>
          <cell r="E58">
            <v>64092209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1710444</v>
          </cell>
          <cell r="D59">
            <v>1710444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10514128</v>
          </cell>
          <cell r="D60">
            <v>10513998</v>
          </cell>
          <cell r="E60">
            <v>130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13278512</v>
          </cell>
          <cell r="D61">
            <v>13278512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249285493</v>
          </cell>
          <cell r="D62">
            <v>87882995</v>
          </cell>
          <cell r="E62">
            <v>161402498</v>
          </cell>
        </row>
        <row r="63">
          <cell r="A63" t="str">
            <v>29</v>
          </cell>
          <cell r="B63" t="str">
            <v>Жами мажбуриятлар</v>
          </cell>
          <cell r="C63">
            <v>20203259522</v>
          </cell>
          <cell r="D63">
            <v>11455429470</v>
          </cell>
          <cell r="E63">
            <v>8747830052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602421053</v>
          </cell>
          <cell r="D67">
            <v>602421053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602399453</v>
          </cell>
          <cell r="D68">
            <v>602399453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21600</v>
          </cell>
          <cell r="D69">
            <v>21600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214440553</v>
          </cell>
          <cell r="D70">
            <v>214440553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1110886560</v>
          </cell>
          <cell r="D71">
            <v>1110886560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1089583882</v>
          </cell>
          <cell r="D72">
            <v>1089583882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21302678</v>
          </cell>
          <cell r="D74">
            <v>21302678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2145410629</v>
          </cell>
          <cell r="D75">
            <v>2145410629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485107246</v>
          </cell>
          <cell r="D76">
            <v>485107246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4073158795</v>
          </cell>
          <cell r="D77">
            <v>4073158795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24276418317</v>
          </cell>
          <cell r="D78">
            <v>15528588265</v>
          </cell>
          <cell r="E78">
            <v>8747830052</v>
          </cell>
        </row>
        <row r="80">
          <cell r="A80"/>
          <cell r="B80"/>
          <cell r="C80"/>
          <cell r="D80"/>
          <cell r="E80"/>
        </row>
        <row r="81">
          <cell r="A81"/>
          <cell r="B81"/>
          <cell r="C81"/>
          <cell r="D81"/>
          <cell r="E81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2646329</v>
          </cell>
          <cell r="D6">
            <v>2646329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57794470</v>
          </cell>
          <cell r="D7">
            <v>30642740</v>
          </cell>
          <cell r="E7">
            <v>27151730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114309098</v>
          </cell>
          <cell r="D8">
            <v>108239379</v>
          </cell>
          <cell r="E8">
            <v>6069719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142118664</v>
          </cell>
          <cell r="D9">
            <v>142118664</v>
          </cell>
          <cell r="E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1443743380</v>
          </cell>
          <cell r="D12">
            <v>1188045513</v>
          </cell>
          <cell r="E12">
            <v>255697867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492437</v>
          </cell>
          <cell r="D13">
            <v>492437</v>
          </cell>
          <cell r="E13">
            <v>0</v>
          </cell>
        </row>
        <row r="14">
          <cell r="B14" t="str">
            <v>Бошқа фоизли даромадлар</v>
          </cell>
          <cell r="C14">
            <v>630851675</v>
          </cell>
          <cell r="D14">
            <v>549267136</v>
          </cell>
          <cell r="E14">
            <v>81584539</v>
          </cell>
        </row>
        <row r="15">
          <cell r="B15" t="str">
            <v>Жами фоизли даромадлар</v>
          </cell>
          <cell r="C15">
            <v>2391956053</v>
          </cell>
          <cell r="D15">
            <v>2021452198</v>
          </cell>
          <cell r="E15">
            <v>370503855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13213485</v>
          </cell>
          <cell r="D18">
            <v>13213485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406098094</v>
          </cell>
          <cell r="D19">
            <v>400454268</v>
          </cell>
          <cell r="E19">
            <v>5643826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8257966</v>
          </cell>
          <cell r="D21">
            <v>8257966</v>
          </cell>
          <cell r="E21">
            <v>0</v>
          </cell>
        </row>
        <row r="22">
          <cell r="B22" t="str">
            <v>Жами депозитлар бўйича фоизли харажатлар</v>
          </cell>
          <cell r="C22">
            <v>427569545</v>
          </cell>
          <cell r="D22">
            <v>421925719</v>
          </cell>
          <cell r="E22">
            <v>5643826</v>
          </cell>
        </row>
        <row r="23">
          <cell r="B23" t="str">
            <v>Кредитлар бўйича фоизли харажатлар</v>
          </cell>
          <cell r="C23">
            <v>372803025</v>
          </cell>
          <cell r="D23">
            <v>238594164</v>
          </cell>
          <cell r="E23">
            <v>134208861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24571881</v>
          </cell>
          <cell r="D24">
            <v>24571881</v>
          </cell>
          <cell r="E24">
            <v>0</v>
          </cell>
        </row>
        <row r="25">
          <cell r="B25" t="str">
            <v>Бошқа фоизли харажатлар</v>
          </cell>
          <cell r="C25">
            <v>642062731</v>
          </cell>
          <cell r="D25">
            <v>550994028</v>
          </cell>
          <cell r="E25">
            <v>91068703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1039437637</v>
          </cell>
          <cell r="D26">
            <v>814160073</v>
          </cell>
          <cell r="E26">
            <v>225277564</v>
          </cell>
        </row>
        <row r="27">
          <cell r="B27" t="str">
            <v>Жами фоизли харажатлар</v>
          </cell>
          <cell r="C27">
            <v>1467007182</v>
          </cell>
          <cell r="D27">
            <v>1236085792</v>
          </cell>
          <cell r="E27">
            <v>230921390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924948871</v>
          </cell>
          <cell r="D29">
            <v>785366406</v>
          </cell>
          <cell r="E29">
            <v>139582465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161895890</v>
          </cell>
          <cell r="D30">
            <v>131763643</v>
          </cell>
          <cell r="E30">
            <v>30132247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2418593</v>
          </cell>
          <cell r="D31">
            <v>2418593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30000</v>
          </cell>
          <cell r="D32">
            <v>30000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31882160</v>
          </cell>
          <cell r="D33">
            <v>30670959</v>
          </cell>
          <cell r="E33">
            <v>1211201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728722228</v>
          </cell>
          <cell r="D34">
            <v>620483211</v>
          </cell>
          <cell r="E34">
            <v>108239017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417322298</v>
          </cell>
          <cell r="D37">
            <v>295555031</v>
          </cell>
          <cell r="E37">
            <v>121767267</v>
          </cell>
        </row>
        <row r="38">
          <cell r="B38" t="str">
            <v>Хорижий валюталардаги фойда</v>
          </cell>
          <cell r="C38">
            <v>226095222</v>
          </cell>
          <cell r="D38">
            <v>115785382</v>
          </cell>
          <cell r="E38">
            <v>110309840</v>
          </cell>
        </row>
        <row r="39">
          <cell r="B39" t="str">
            <v>Тижорат операцияларидан олинган фойда</v>
          </cell>
          <cell r="C39">
            <v>1151131</v>
          </cell>
          <cell r="D39">
            <v>1151131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122619616</v>
          </cell>
          <cell r="D41">
            <v>85357378</v>
          </cell>
          <cell r="E41">
            <v>37262238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14387908</v>
          </cell>
          <cell r="D42">
            <v>14387908</v>
          </cell>
          <cell r="E42">
            <v>0</v>
          </cell>
        </row>
        <row r="43">
          <cell r="B43" t="str">
            <v>Бошқа фоизсиз даромадлар</v>
          </cell>
          <cell r="C43">
            <v>4826256</v>
          </cell>
          <cell r="D43">
            <v>3040651</v>
          </cell>
          <cell r="E43">
            <v>1785605</v>
          </cell>
        </row>
        <row r="44">
          <cell r="B44" t="str">
            <v>Жами фоизсиз даромадлар</v>
          </cell>
          <cell r="C44">
            <v>787802752</v>
          </cell>
          <cell r="D44">
            <v>516677802</v>
          </cell>
          <cell r="E44">
            <v>271124950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255847583</v>
          </cell>
          <cell r="D47">
            <v>126587567</v>
          </cell>
          <cell r="E47">
            <v>129260016</v>
          </cell>
        </row>
        <row r="48">
          <cell r="B48" t="str">
            <v>Хорижий валютада кўрилган зарарлар</v>
          </cell>
          <cell r="C48">
            <v>69954040</v>
          </cell>
          <cell r="D48">
            <v>0</v>
          </cell>
          <cell r="E48">
            <v>69954040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3124</v>
          </cell>
          <cell r="D50">
            <v>3124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263949</v>
          </cell>
          <cell r="D51">
            <v>158848</v>
          </cell>
          <cell r="E51">
            <v>105101</v>
          </cell>
        </row>
        <row r="52">
          <cell r="B52" t="str">
            <v>Жами фоизсиз харажатлар</v>
          </cell>
          <cell r="C52">
            <v>326068696</v>
          </cell>
          <cell r="D52">
            <v>126749539</v>
          </cell>
          <cell r="E52">
            <v>199319157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1190456284</v>
          </cell>
          <cell r="D54">
            <v>1010411474</v>
          </cell>
          <cell r="E54">
            <v>180044810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352207666</v>
          </cell>
          <cell r="D57">
            <v>351942280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16515942</v>
          </cell>
          <cell r="D58">
            <v>16515942</v>
          </cell>
          <cell r="E58"/>
        </row>
        <row r="59">
          <cell r="B59" t="str">
            <v>Ижара ва таъминот харажатлари</v>
          </cell>
          <cell r="C59">
            <v>73757003</v>
          </cell>
          <cell r="D59">
            <v>73757003</v>
          </cell>
          <cell r="E59"/>
        </row>
        <row r="60">
          <cell r="B60" t="str">
            <v>Хизмат сафари ва транспорт харажатлари</v>
          </cell>
          <cell r="C60">
            <v>7938315</v>
          </cell>
          <cell r="D60">
            <v>7318895</v>
          </cell>
          <cell r="E60"/>
        </row>
        <row r="61">
          <cell r="B61" t="str">
            <v>Маъмурий харажатлар</v>
          </cell>
          <cell r="C61">
            <v>60495762</v>
          </cell>
          <cell r="D61">
            <v>60495762</v>
          </cell>
          <cell r="E61"/>
        </row>
        <row r="62">
          <cell r="B62" t="str">
            <v>Репрезентация ва хайрия</v>
          </cell>
          <cell r="C62">
            <v>21658756</v>
          </cell>
          <cell r="D62">
            <v>21601156</v>
          </cell>
          <cell r="E62"/>
        </row>
        <row r="63">
          <cell r="B63" t="str">
            <v>Эскириш харажатлари</v>
          </cell>
          <cell r="C63">
            <v>97022858</v>
          </cell>
          <cell r="D63">
            <v>97022858</v>
          </cell>
          <cell r="E63"/>
        </row>
        <row r="64">
          <cell r="B64" t="str">
            <v>Суғурта харажатлари</v>
          </cell>
          <cell r="C64">
            <v>824238</v>
          </cell>
          <cell r="D64">
            <v>824238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2609835</v>
          </cell>
          <cell r="D65">
            <v>2609835</v>
          </cell>
          <cell r="E65"/>
        </row>
        <row r="66">
          <cell r="B66" t="str">
            <v>Жарима ва пенялар</v>
          </cell>
          <cell r="C66">
            <v>459923</v>
          </cell>
          <cell r="D66">
            <v>459923</v>
          </cell>
          <cell r="E66"/>
        </row>
        <row r="67">
          <cell r="B67" t="str">
            <v>Бошқа операцион харажатлар</v>
          </cell>
          <cell r="C67">
            <v>20075795</v>
          </cell>
          <cell r="D67">
            <v>19900867</v>
          </cell>
          <cell r="E67"/>
        </row>
        <row r="68">
          <cell r="B68" t="str">
            <v>Жами операцион харажатлар</v>
          </cell>
          <cell r="C68">
            <v>637050151</v>
          </cell>
          <cell r="D68">
            <v>635932817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553406133</v>
          </cell>
          <cell r="D70">
            <v>374478657</v>
          </cell>
          <cell r="E70">
            <v>178927476</v>
          </cell>
        </row>
        <row r="71">
          <cell r="B71" t="str">
            <v>Фойда солиғини баҳолаш</v>
          </cell>
          <cell r="C71">
            <v>68298887</v>
          </cell>
          <cell r="D71">
            <v>68058857</v>
          </cell>
          <cell r="E71">
            <v>240030</v>
          </cell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485107246</v>
          </cell>
          <cell r="D73">
            <v>306419800</v>
          </cell>
          <cell r="E73">
            <v>178687446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485107246</v>
          </cell>
          <cell r="D77">
            <v>306419800</v>
          </cell>
          <cell r="E77">
            <v>178687446</v>
          </cell>
        </row>
      </sheetData>
      <sheetData sheetId="2">
        <row r="7">
          <cell r="C7">
            <v>564032717</v>
          </cell>
        </row>
        <row r="9">
          <cell r="C9">
            <v>828498720</v>
          </cell>
          <cell r="E9">
            <v>1105600900</v>
          </cell>
          <cell r="G9">
            <v>256943585</v>
          </cell>
        </row>
      </sheetData>
      <sheetData sheetId="3"/>
      <sheetData sheetId="4">
        <row r="7">
          <cell r="I7">
            <v>0.16282559474711195</v>
          </cell>
        </row>
        <row r="9">
          <cell r="I9">
            <v>0.1316476368216726</v>
          </cell>
        </row>
        <row r="11">
          <cell r="I11">
            <v>0.13164683957211618</v>
          </cell>
        </row>
        <row r="13">
          <cell r="I13">
            <v>0.13499933364796077</v>
          </cell>
        </row>
        <row r="16">
          <cell r="I16">
            <v>0.21480437760615806</v>
          </cell>
        </row>
        <row r="18">
          <cell r="I18">
            <v>3.5314393656426204</v>
          </cell>
        </row>
        <row r="21">
          <cell r="I21">
            <v>1.3087410710126126</v>
          </cell>
        </row>
      </sheetData>
      <sheetData sheetId="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825350110</v>
          </cell>
          <cell r="D5">
            <v>457182767</v>
          </cell>
          <cell r="E5">
            <v>368167343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2594417918</v>
          </cell>
          <cell r="D6">
            <v>2592921431</v>
          </cell>
          <cell r="E6">
            <v>1496487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8049679326</v>
          </cell>
          <cell r="D7">
            <v>2033477849</v>
          </cell>
          <cell r="E7">
            <v>6016201477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8049679326</v>
          </cell>
          <cell r="D8">
            <v>2033477849</v>
          </cell>
          <cell r="E8">
            <v>6016201477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684</v>
          </cell>
          <cell r="D14">
            <v>684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684</v>
          </cell>
          <cell r="D15">
            <v>684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3832128799</v>
          </cell>
          <cell r="D17">
            <v>3831323886</v>
          </cell>
          <cell r="E17">
            <v>804913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4021556500</v>
          </cell>
          <cell r="D18">
            <v>4020751587</v>
          </cell>
          <cell r="E18">
            <v>804913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-188387130</v>
          </cell>
          <cell r="D19">
            <v>-188387130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1040571</v>
          </cell>
          <cell r="D20">
            <v>1040571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33411853650</v>
          </cell>
          <cell r="D24">
            <v>27054901834</v>
          </cell>
          <cell r="E24">
            <v>6356951816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35065869100</v>
          </cell>
          <cell r="D25">
            <v>27703905963</v>
          </cell>
          <cell r="E25">
            <v>7361963137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1654015450</v>
          </cell>
          <cell r="D26">
            <v>649004129</v>
          </cell>
          <cell r="E26">
            <v>1005011321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3654021</v>
          </cell>
          <cell r="D27">
            <v>0</v>
          </cell>
          <cell r="E27">
            <v>3654021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271105817</v>
          </cell>
          <cell r="D28">
            <v>0</v>
          </cell>
          <cell r="E28">
            <v>271105817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267451796</v>
          </cell>
          <cell r="D29">
            <v>0</v>
          </cell>
          <cell r="E29">
            <v>267451796</v>
          </cell>
        </row>
        <row r="30">
          <cell r="A30">
            <v>10</v>
          </cell>
          <cell r="B30" t="str">
            <v>Асосий воситалар, соф</v>
          </cell>
          <cell r="C30">
            <v>855471486</v>
          </cell>
          <cell r="D30">
            <v>855471486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851632545</v>
          </cell>
          <cell r="D31">
            <v>523724625</v>
          </cell>
          <cell r="E31">
            <v>327907920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1197371258</v>
          </cell>
          <cell r="D32">
            <v>667902357</v>
          </cell>
          <cell r="E32">
            <v>529468901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72532259</v>
          </cell>
          <cell r="D33">
            <v>40948268</v>
          </cell>
          <cell r="E33">
            <v>31583991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418270972</v>
          </cell>
          <cell r="D34">
            <v>185126000</v>
          </cell>
          <cell r="E34">
            <v>233144972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106097389</v>
          </cell>
          <cell r="D35">
            <v>106097389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481049106</v>
          </cell>
          <cell r="D36">
            <v>481049106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7494637</v>
          </cell>
          <cell r="D37">
            <v>7494637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382446354</v>
          </cell>
          <cell r="D38">
            <v>382446354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415750261</v>
          </cell>
          <cell r="D39">
            <v>415750261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312137410</v>
          </cell>
          <cell r="D40">
            <v>312137410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93617162</v>
          </cell>
          <cell r="D41">
            <v>93617162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9995689</v>
          </cell>
          <cell r="D42">
            <v>9995689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558712925</v>
          </cell>
          <cell r="D43">
            <v>501972329</v>
          </cell>
          <cell r="E43">
            <v>56740596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578197516</v>
          </cell>
          <cell r="D44">
            <v>521440879</v>
          </cell>
          <cell r="E44">
            <v>56756637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19484591</v>
          </cell>
          <cell r="D45">
            <v>19468550</v>
          </cell>
          <cell r="E45">
            <v>16041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50673248592</v>
          </cell>
          <cell r="D47">
            <v>37541324019</v>
          </cell>
          <cell r="E47">
            <v>13131924573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7618133608</v>
          </cell>
          <cell r="D50">
            <v>5360177809</v>
          </cell>
          <cell r="E50">
            <v>2257955799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17486015081</v>
          </cell>
          <cell r="D51">
            <v>15579487303</v>
          </cell>
          <cell r="E51">
            <v>1906527778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132954290</v>
          </cell>
          <cell r="D52">
            <v>132954290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599712965</v>
          </cell>
          <cell r="D53">
            <v>590287843</v>
          </cell>
          <cell r="E53">
            <v>9425122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10681850577</v>
          </cell>
          <cell r="D55">
            <v>6287692259</v>
          </cell>
          <cell r="E55">
            <v>4394158318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5157474163</v>
          </cell>
          <cell r="D56">
            <v>1361235163</v>
          </cell>
          <cell r="E56">
            <v>3796239000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558957339</v>
          </cell>
          <cell r="D57">
            <v>242604089</v>
          </cell>
          <cell r="E57">
            <v>316353250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714245664</v>
          </cell>
          <cell r="D58">
            <v>432003909</v>
          </cell>
          <cell r="E58">
            <v>282241755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72652519</v>
          </cell>
          <cell r="D59">
            <v>72652519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132844830</v>
          </cell>
          <cell r="D60">
            <v>115048491</v>
          </cell>
          <cell r="E60">
            <v>17796339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6538863</v>
          </cell>
          <cell r="D61">
            <v>6538863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567614416</v>
          </cell>
          <cell r="D62">
            <v>480308424</v>
          </cell>
          <cell r="E62">
            <v>87305992</v>
          </cell>
        </row>
        <row r="63">
          <cell r="A63" t="str">
            <v>29</v>
          </cell>
          <cell r="B63" t="str">
            <v>Жами мажбуриятлар</v>
          </cell>
          <cell r="C63">
            <v>43728994315</v>
          </cell>
          <cell r="D63">
            <v>30660990962</v>
          </cell>
          <cell r="E63">
            <v>13068003353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3834217639</v>
          </cell>
          <cell r="D67">
            <v>3834217639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3826165639</v>
          </cell>
          <cell r="D68">
            <v>3826165639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8052000</v>
          </cell>
          <cell r="D69">
            <v>8052000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754434</v>
          </cell>
          <cell r="D70">
            <v>754434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963494324</v>
          </cell>
          <cell r="D71">
            <v>963494324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953359598</v>
          </cell>
          <cell r="D72">
            <v>953359598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10134726</v>
          </cell>
          <cell r="D74">
            <v>10134726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2145787880</v>
          </cell>
          <cell r="D75">
            <v>2145787880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-392524474</v>
          </cell>
          <cell r="D76">
            <v>-392524474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6944254277</v>
          </cell>
          <cell r="D77">
            <v>6944254277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50673248592</v>
          </cell>
          <cell r="D78">
            <v>37605245239</v>
          </cell>
          <cell r="E78">
            <v>13068003353</v>
          </cell>
        </row>
        <row r="81">
          <cell r="A81"/>
          <cell r="B81"/>
          <cell r="C81">
            <v>0</v>
          </cell>
          <cell r="D81"/>
          <cell r="E81"/>
        </row>
        <row r="82">
          <cell r="A82"/>
          <cell r="B82"/>
          <cell r="C82"/>
          <cell r="D82"/>
          <cell r="E82"/>
        </row>
        <row r="83">
          <cell r="A83"/>
          <cell r="B83"/>
          <cell r="C83"/>
          <cell r="D83"/>
          <cell r="E83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80393151</v>
          </cell>
          <cell r="D6">
            <v>80393151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219499707</v>
          </cell>
          <cell r="D7">
            <v>91314649</v>
          </cell>
          <cell r="E7">
            <v>128185058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325269144</v>
          </cell>
          <cell r="D9">
            <v>325269144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3062887807</v>
          </cell>
          <cell r="D12">
            <v>2768867376</v>
          </cell>
          <cell r="E12">
            <v>294020431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Бошқа фоизли даромадлар</v>
          </cell>
          <cell r="C14">
            <v>1772355485</v>
          </cell>
          <cell r="D14">
            <v>1488243586</v>
          </cell>
          <cell r="E14">
            <v>284111899</v>
          </cell>
        </row>
        <row r="15">
          <cell r="B15" t="str">
            <v>Жами фоизли даромадлар</v>
          </cell>
          <cell r="C15">
            <v>5460405294</v>
          </cell>
          <cell r="D15">
            <v>4754087906</v>
          </cell>
          <cell r="E15">
            <v>706317388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63002025</v>
          </cell>
          <cell r="D18">
            <v>57331486</v>
          </cell>
          <cell r="E18">
            <v>5670539</v>
          </cell>
        </row>
        <row r="19">
          <cell r="B19" t="str">
            <v>Муддатли депозитлар бўйича фоизли харажатлар</v>
          </cell>
          <cell r="C19">
            <v>1194235618</v>
          </cell>
          <cell r="D19">
            <v>1149663889</v>
          </cell>
          <cell r="E19">
            <v>44571729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27620341</v>
          </cell>
          <cell r="D21">
            <v>25029044</v>
          </cell>
          <cell r="E21">
            <v>2591297</v>
          </cell>
        </row>
        <row r="22">
          <cell r="B22" t="str">
            <v>Жами депозитлар бўйича фоизли харажатлар</v>
          </cell>
          <cell r="C22">
            <v>1284857984</v>
          </cell>
          <cell r="D22">
            <v>1232024419</v>
          </cell>
          <cell r="E22">
            <v>52833565</v>
          </cell>
        </row>
        <row r="23">
          <cell r="B23" t="str">
            <v>Кредитлар бўйича фоизли харажатлар</v>
          </cell>
          <cell r="C23">
            <v>407421030</v>
          </cell>
          <cell r="D23">
            <v>313184203</v>
          </cell>
          <cell r="E23">
            <v>94236827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  <cell r="E24">
            <v>0</v>
          </cell>
        </row>
        <row r="25">
          <cell r="B25" t="str">
            <v>Бошқа фоизли харажатлар</v>
          </cell>
          <cell r="C25">
            <v>2023033725</v>
          </cell>
          <cell r="D25">
            <v>1632311997</v>
          </cell>
          <cell r="E25">
            <v>390721728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2430454755</v>
          </cell>
          <cell r="D26">
            <v>1945496200</v>
          </cell>
          <cell r="E26">
            <v>484958555</v>
          </cell>
        </row>
        <row r="27">
          <cell r="B27" t="str">
            <v>Жами фоизли харажатлар</v>
          </cell>
          <cell r="C27">
            <v>3715312739</v>
          </cell>
          <cell r="D27">
            <v>3177520619</v>
          </cell>
          <cell r="E27">
            <v>537792120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1745092555</v>
          </cell>
          <cell r="D29">
            <v>1576567287</v>
          </cell>
          <cell r="E29">
            <v>168525268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2402431453</v>
          </cell>
          <cell r="D30">
            <v>909215941</v>
          </cell>
          <cell r="E30">
            <v>1493215512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3254859</v>
          </cell>
          <cell r="D31">
            <v>0</v>
          </cell>
          <cell r="E31">
            <v>3254859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535054562</v>
          </cell>
          <cell r="D33">
            <v>308448547</v>
          </cell>
          <cell r="E33">
            <v>226606015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-1195648319</v>
          </cell>
          <cell r="D34">
            <v>358902799</v>
          </cell>
          <cell r="E34">
            <v>-1554551118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236398306</v>
          </cell>
          <cell r="D37">
            <v>226339155</v>
          </cell>
          <cell r="E37">
            <v>10059151</v>
          </cell>
        </row>
        <row r="38">
          <cell r="B38" t="str">
            <v>Хорижий валюталардаги фойда</v>
          </cell>
          <cell r="C38">
            <v>493956477</v>
          </cell>
          <cell r="D38">
            <v>54400115</v>
          </cell>
          <cell r="E38">
            <v>439556362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1347181810</v>
          </cell>
          <cell r="D41">
            <v>562295563</v>
          </cell>
          <cell r="E41">
            <v>784886247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>
            <v>0</v>
          </cell>
          <cell r="E42">
            <v>0</v>
          </cell>
        </row>
        <row r="43">
          <cell r="B43" t="str">
            <v>Бошқа фоизсиз даромадлар</v>
          </cell>
          <cell r="C43">
            <v>70007434</v>
          </cell>
          <cell r="D43">
            <v>70007434</v>
          </cell>
          <cell r="E43">
            <v>0</v>
          </cell>
        </row>
        <row r="44">
          <cell r="B44" t="str">
            <v>Жами фоизсиз даромадлар</v>
          </cell>
          <cell r="C44">
            <v>2147544027</v>
          </cell>
          <cell r="D44">
            <v>913042267</v>
          </cell>
          <cell r="E44">
            <v>1234501760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66764760</v>
          </cell>
          <cell r="D47">
            <v>59837504</v>
          </cell>
          <cell r="E47">
            <v>6927256</v>
          </cell>
        </row>
        <row r="48">
          <cell r="B48" t="str">
            <v>Хорижий валютада кўрилган зарарлар</v>
          </cell>
          <cell r="C48">
            <v>411001397</v>
          </cell>
          <cell r="D48">
            <v>441431</v>
          </cell>
          <cell r="E48">
            <v>410559966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11982060</v>
          </cell>
          <cell r="D51">
            <v>11982060</v>
          </cell>
          <cell r="E51">
            <v>0</v>
          </cell>
        </row>
        <row r="52">
          <cell r="B52" t="str">
            <v>Жами фоизсиз харажатлар</v>
          </cell>
          <cell r="C52">
            <v>489748217</v>
          </cell>
          <cell r="D52">
            <v>72260995</v>
          </cell>
          <cell r="E52">
            <v>417487222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462147491</v>
          </cell>
          <cell r="D54">
            <v>1199684071</v>
          </cell>
          <cell r="E54">
            <v>-737536580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577622187</v>
          </cell>
          <cell r="D57">
            <v>577523287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15214179</v>
          </cell>
          <cell r="D58">
            <v>15214179</v>
          </cell>
          <cell r="E58"/>
        </row>
        <row r="59">
          <cell r="B59" t="str">
            <v>Ижара ва таъминот харажатлари</v>
          </cell>
          <cell r="C59">
            <v>63201381</v>
          </cell>
          <cell r="D59">
            <v>63201381</v>
          </cell>
          <cell r="E59"/>
        </row>
        <row r="60">
          <cell r="B60" t="str">
            <v>Хизмат сафари ва транспорт харажатлари</v>
          </cell>
          <cell r="C60">
            <v>5675236</v>
          </cell>
          <cell r="D60">
            <v>5675236</v>
          </cell>
          <cell r="E60"/>
        </row>
        <row r="61">
          <cell r="B61" t="str">
            <v>Маъмурий харажатлар</v>
          </cell>
          <cell r="C61">
            <v>41013085</v>
          </cell>
          <cell r="D61">
            <v>35364107</v>
          </cell>
          <cell r="E61"/>
        </row>
        <row r="62">
          <cell r="B62" t="str">
            <v>Репрезентация ва хайрия</v>
          </cell>
          <cell r="C62">
            <v>37838796</v>
          </cell>
          <cell r="D62">
            <v>37716466</v>
          </cell>
          <cell r="E62"/>
        </row>
        <row r="63">
          <cell r="B63" t="str">
            <v>Эскириш харажатлари</v>
          </cell>
          <cell r="C63">
            <v>91432808</v>
          </cell>
          <cell r="D63">
            <v>91432808</v>
          </cell>
          <cell r="E63"/>
        </row>
        <row r="64">
          <cell r="B64" t="str">
            <v>Суғурта харажатлари</v>
          </cell>
          <cell r="C64">
            <v>112846</v>
          </cell>
          <cell r="D64">
            <v>112846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11742058</v>
          </cell>
          <cell r="D65">
            <v>11742058</v>
          </cell>
          <cell r="E65"/>
        </row>
        <row r="66">
          <cell r="B66" t="str">
            <v>Жарима ва пенялар</v>
          </cell>
          <cell r="C66">
            <v>1338218</v>
          </cell>
          <cell r="D66">
            <v>1338218</v>
          </cell>
          <cell r="E66"/>
        </row>
        <row r="67">
          <cell r="B67" t="str">
            <v>Бошқа операцион харажатлар</v>
          </cell>
          <cell r="C67">
            <v>24485315</v>
          </cell>
          <cell r="D67">
            <v>15018886</v>
          </cell>
          <cell r="E67"/>
        </row>
        <row r="68">
          <cell r="B68" t="str">
            <v>Жами операцион харажатлар</v>
          </cell>
          <cell r="C68">
            <v>854461930</v>
          </cell>
          <cell r="D68">
            <v>839125293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-392314439</v>
          </cell>
          <cell r="D70">
            <v>360558778</v>
          </cell>
          <cell r="E70">
            <v>-752873217</v>
          </cell>
        </row>
        <row r="71">
          <cell r="B71" t="str">
            <v>Фойда солиғини баҳолаш</v>
          </cell>
          <cell r="C71">
            <v>210035</v>
          </cell>
          <cell r="D71">
            <v>0</v>
          </cell>
          <cell r="E71">
            <v>210035</v>
          </cell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-392524474</v>
          </cell>
          <cell r="D73">
            <v>360558778</v>
          </cell>
          <cell r="E73">
            <v>-753083252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-392524474</v>
          </cell>
          <cell r="D77">
            <v>360558778</v>
          </cell>
          <cell r="E77">
            <v>-753083252</v>
          </cell>
        </row>
      </sheetData>
      <sheetData sheetId="2">
        <row r="7">
          <cell r="C7">
            <v>844417918</v>
          </cell>
        </row>
        <row r="9">
          <cell r="C9">
            <v>433971728</v>
          </cell>
          <cell r="E9">
            <v>4917282140</v>
          </cell>
          <cell r="G9">
            <v>1265483659</v>
          </cell>
        </row>
      </sheetData>
      <sheetData sheetId="3"/>
      <sheetData sheetId="4">
        <row r="7">
          <cell r="I7">
            <v>0.16666981854611523</v>
          </cell>
        </row>
        <row r="9">
          <cell r="I9">
            <v>0.15156305092073535</v>
          </cell>
        </row>
        <row r="11">
          <cell r="I11">
            <v>0.15136738917284787</v>
          </cell>
        </row>
        <row r="13">
          <cell r="I13">
            <v>0.13224848590152294</v>
          </cell>
        </row>
        <row r="16">
          <cell r="I16">
            <v>0.20804953944998103</v>
          </cell>
        </row>
        <row r="18">
          <cell r="I18">
            <v>3.0198491003299544</v>
          </cell>
        </row>
        <row r="21">
          <cell r="I21">
            <v>1.2321604845426732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2427928349</v>
          </cell>
          <cell r="D5">
            <v>1086389070</v>
          </cell>
          <cell r="E5">
            <v>1341539279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3740737424</v>
          </cell>
          <cell r="D6">
            <v>1374420014</v>
          </cell>
          <cell r="E6">
            <v>2366317410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1377039914</v>
          </cell>
          <cell r="D7">
            <v>524901120</v>
          </cell>
          <cell r="E7">
            <v>852138794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1377039914</v>
          </cell>
          <cell r="D8">
            <v>524901120</v>
          </cell>
          <cell r="E8">
            <v>852138794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5647353240</v>
          </cell>
          <cell r="D10">
            <v>5647353240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5824350000</v>
          </cell>
          <cell r="D11">
            <v>5824350000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-176996760</v>
          </cell>
          <cell r="D12">
            <v>-176996760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430219895</v>
          </cell>
          <cell r="D17">
            <v>430219895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430219895</v>
          </cell>
          <cell r="D18">
            <v>430219895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33797997622</v>
          </cell>
          <cell r="D24">
            <v>21028828044</v>
          </cell>
          <cell r="E24">
            <v>12769169578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35063253307</v>
          </cell>
          <cell r="D25">
            <v>22092818643</v>
          </cell>
          <cell r="E25">
            <v>12970434664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1265255685</v>
          </cell>
          <cell r="D26">
            <v>1063990599</v>
          </cell>
          <cell r="E26">
            <v>201265086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1386453818</v>
          </cell>
          <cell r="D30">
            <v>1386453818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872463387</v>
          </cell>
          <cell r="D31">
            <v>757631076</v>
          </cell>
          <cell r="E31">
            <v>114832311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906228007</v>
          </cell>
          <cell r="D32">
            <v>791997762</v>
          </cell>
          <cell r="E32">
            <v>114230245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84793407</v>
          </cell>
          <cell r="D33">
            <v>75008507</v>
          </cell>
          <cell r="E33">
            <v>9784900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118558027</v>
          </cell>
          <cell r="D34">
            <v>109375193</v>
          </cell>
          <cell r="E34">
            <v>9182834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133262519</v>
          </cell>
          <cell r="D35">
            <v>133262519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121555082</v>
          </cell>
          <cell r="D36">
            <v>121555082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12085771</v>
          </cell>
          <cell r="D37">
            <v>12085771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378334</v>
          </cell>
          <cell r="D38">
            <v>378334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305412045</v>
          </cell>
          <cell r="D39">
            <v>305412045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272863086</v>
          </cell>
          <cell r="D40">
            <v>272863086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29165538</v>
          </cell>
          <cell r="D41">
            <v>29165538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3383421</v>
          </cell>
          <cell r="D42">
            <v>3383421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1383336872</v>
          </cell>
          <cell r="D43">
            <v>1258332820</v>
          </cell>
          <cell r="E43">
            <v>125004052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1416075992</v>
          </cell>
          <cell r="D44">
            <v>1283692727</v>
          </cell>
          <cell r="E44">
            <v>132383265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32739120</v>
          </cell>
          <cell r="D45">
            <v>25359907</v>
          </cell>
          <cell r="E45">
            <v>7379213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50891380995</v>
          </cell>
          <cell r="D47">
            <v>33322379571</v>
          </cell>
          <cell r="E47">
            <v>17569001424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12689098200</v>
          </cell>
          <cell r="D50">
            <v>5538507244</v>
          </cell>
          <cell r="E50">
            <v>7150590956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25494004171</v>
          </cell>
          <cell r="D51">
            <v>18868060482</v>
          </cell>
          <cell r="E51">
            <v>6625943689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3330</v>
          </cell>
          <cell r="D52">
            <v>3330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2685166998</v>
          </cell>
          <cell r="D53">
            <v>2550466565</v>
          </cell>
          <cell r="E53">
            <v>134700433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1040077839</v>
          </cell>
          <cell r="D55">
            <v>353164649</v>
          </cell>
          <cell r="E55">
            <v>686913190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1683058536</v>
          </cell>
          <cell r="D57">
            <v>155455905</v>
          </cell>
          <cell r="E57">
            <v>1527602631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79541301</v>
          </cell>
          <cell r="D58">
            <v>53384347</v>
          </cell>
          <cell r="E58">
            <v>26156954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18398986</v>
          </cell>
          <cell r="D59">
            <v>18398986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51895399</v>
          </cell>
          <cell r="D60">
            <v>3234777</v>
          </cell>
          <cell r="E60">
            <v>48660622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3913935</v>
          </cell>
          <cell r="D61">
            <v>3913935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1315000314</v>
          </cell>
          <cell r="D62">
            <v>1069597793</v>
          </cell>
          <cell r="E62">
            <v>245402521</v>
          </cell>
        </row>
        <row r="63">
          <cell r="A63" t="str">
            <v>29</v>
          </cell>
          <cell r="B63" t="str">
            <v>Жами мажбуриятлар</v>
          </cell>
          <cell r="C63">
            <v>45060159009</v>
          </cell>
          <cell r="D63">
            <v>28614188013</v>
          </cell>
          <cell r="E63">
            <v>16445970996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502385173</v>
          </cell>
          <cell r="D67">
            <v>502385173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502385173</v>
          </cell>
          <cell r="D68">
            <v>502385173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349727222</v>
          </cell>
          <cell r="D70">
            <v>349727222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3534269789</v>
          </cell>
          <cell r="D71">
            <v>3534269789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3531691307</v>
          </cell>
          <cell r="D72">
            <v>3531691307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2578482</v>
          </cell>
          <cell r="D74">
            <v>2578482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1444839802</v>
          </cell>
          <cell r="D75">
            <v>1444839802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326019394</v>
          </cell>
          <cell r="D76">
            <v>326019394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5831221986</v>
          </cell>
          <cell r="D77">
            <v>5831221986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50891380995</v>
          </cell>
          <cell r="D78">
            <v>34445409999</v>
          </cell>
          <cell r="E78">
            <v>16445970996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1580137</v>
          </cell>
          <cell r="D6">
            <v>1580137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70347692</v>
          </cell>
          <cell r="D7">
            <v>11629466</v>
          </cell>
          <cell r="E7">
            <v>58718226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388862047</v>
          </cell>
          <cell r="D9">
            <v>388862047</v>
          </cell>
          <cell r="E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3173301024</v>
          </cell>
          <cell r="D12">
            <v>2487719775</v>
          </cell>
          <cell r="E12">
            <v>685581249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/>
          <cell r="E13"/>
        </row>
        <row r="14">
          <cell r="B14" t="str">
            <v>Бошқа фоизли даромадлар</v>
          </cell>
          <cell r="C14">
            <v>5843222</v>
          </cell>
          <cell r="D14">
            <v>5843222</v>
          </cell>
          <cell r="E14">
            <v>0</v>
          </cell>
        </row>
        <row r="15">
          <cell r="B15" t="str">
            <v>Жами фоизли даромадлар</v>
          </cell>
          <cell r="C15">
            <v>3639934122</v>
          </cell>
          <cell r="D15">
            <v>2895634647</v>
          </cell>
          <cell r="E15">
            <v>744299475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2434674</v>
          </cell>
          <cell r="D18">
            <v>2434674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1711274352</v>
          </cell>
          <cell r="D19">
            <v>1567735157</v>
          </cell>
          <cell r="E19">
            <v>143539195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48603810</v>
          </cell>
          <cell r="D21">
            <v>48592825</v>
          </cell>
          <cell r="E21">
            <v>10985</v>
          </cell>
        </row>
        <row r="22">
          <cell r="B22" t="str">
            <v>Жами депозитлар бўйича фоизли харажатлар</v>
          </cell>
          <cell r="C22">
            <v>1762312836</v>
          </cell>
          <cell r="D22">
            <v>1618762656</v>
          </cell>
          <cell r="E22">
            <v>143550180</v>
          </cell>
        </row>
        <row r="23">
          <cell r="B23" t="str">
            <v>Кредитлар бўйича фоизли харажатлар</v>
          </cell>
          <cell r="C23">
            <v>20715219</v>
          </cell>
          <cell r="D23">
            <v>2430075</v>
          </cell>
          <cell r="E23">
            <v>18285144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52854973</v>
          </cell>
          <cell r="D24">
            <v>52854973</v>
          </cell>
          <cell r="E24">
            <v>0</v>
          </cell>
        </row>
        <row r="25">
          <cell r="B25" t="str">
            <v>Бошқа фоизли харажатлар</v>
          </cell>
          <cell r="C25">
            <v>68356822</v>
          </cell>
          <cell r="D25">
            <v>14048997</v>
          </cell>
          <cell r="E25">
            <v>54307825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141927014</v>
          </cell>
          <cell r="D26">
            <v>69334045</v>
          </cell>
          <cell r="E26">
            <v>72592969</v>
          </cell>
        </row>
        <row r="27">
          <cell r="B27" t="str">
            <v>Жами фоизли харажатлар</v>
          </cell>
          <cell r="C27">
            <v>1904239850</v>
          </cell>
          <cell r="D27">
            <v>1688096701</v>
          </cell>
          <cell r="E27">
            <v>216143149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1735694272</v>
          </cell>
          <cell r="D29">
            <v>1207537946</v>
          </cell>
          <cell r="E29">
            <v>528156326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965993548</v>
          </cell>
          <cell r="D30">
            <v>851447605</v>
          </cell>
          <cell r="E30">
            <v>114545943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145520272</v>
          </cell>
          <cell r="D33">
            <v>136498692</v>
          </cell>
          <cell r="E33">
            <v>9021580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624180452</v>
          </cell>
          <cell r="D34">
            <v>219591649</v>
          </cell>
          <cell r="E34">
            <v>404588803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597033148</v>
          </cell>
          <cell r="D37">
            <v>349225794</v>
          </cell>
          <cell r="E37">
            <v>247807354</v>
          </cell>
        </row>
        <row r="38">
          <cell r="B38" t="str">
            <v>Хорижий валюталардаги фойда</v>
          </cell>
          <cell r="C38">
            <v>1191208525</v>
          </cell>
          <cell r="D38">
            <v>314832338</v>
          </cell>
          <cell r="E38">
            <v>876376187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1623735</v>
          </cell>
          <cell r="D40">
            <v>1623735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68240346</v>
          </cell>
          <cell r="D41">
            <v>68084332</v>
          </cell>
          <cell r="E41">
            <v>156014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408956608</v>
          </cell>
          <cell r="D42">
            <v>348274847</v>
          </cell>
          <cell r="E42">
            <v>60681761</v>
          </cell>
        </row>
        <row r="43">
          <cell r="B43" t="str">
            <v>Бошқа фоизсиз даромадлар</v>
          </cell>
          <cell r="C43">
            <v>180024152</v>
          </cell>
          <cell r="D43">
            <v>164834632</v>
          </cell>
          <cell r="E43">
            <v>15189520</v>
          </cell>
        </row>
        <row r="44">
          <cell r="B44" t="str">
            <v>Жами фоизсиз даромадлар</v>
          </cell>
          <cell r="C44">
            <v>2447086514</v>
          </cell>
          <cell r="D44">
            <v>1246875678</v>
          </cell>
          <cell r="E44">
            <v>1200210836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445088881</v>
          </cell>
          <cell r="D47">
            <v>234645608</v>
          </cell>
          <cell r="E47">
            <v>210443273</v>
          </cell>
        </row>
        <row r="48">
          <cell r="B48" t="str">
            <v>Хорижий валютада кўрилган зарарлар</v>
          </cell>
          <cell r="C48">
            <v>920564236</v>
          </cell>
          <cell r="D48">
            <v>366422322</v>
          </cell>
          <cell r="E48">
            <v>554141914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6011208</v>
          </cell>
          <cell r="D51">
            <v>5836296</v>
          </cell>
          <cell r="E51">
            <v>174912</v>
          </cell>
        </row>
        <row r="52">
          <cell r="B52" t="str">
            <v>Жами фоизсиз харажатлар</v>
          </cell>
          <cell r="C52">
            <v>1371664325</v>
          </cell>
          <cell r="D52">
            <v>606904226</v>
          </cell>
          <cell r="E52">
            <v>764760099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1699602641</v>
          </cell>
          <cell r="D54">
            <v>859563101</v>
          </cell>
          <cell r="E54">
            <v>840039540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488062732</v>
          </cell>
          <cell r="D57">
            <v>488062732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11986517</v>
          </cell>
          <cell r="D58">
            <v>11986517</v>
          </cell>
          <cell r="E58"/>
        </row>
        <row r="59">
          <cell r="B59" t="str">
            <v>Ижара ва таъминот харажатлари</v>
          </cell>
          <cell r="C59">
            <v>81910219</v>
          </cell>
          <cell r="D59">
            <v>81910219</v>
          </cell>
          <cell r="E59"/>
        </row>
        <row r="60">
          <cell r="B60" t="str">
            <v>Хизмат сафари ва транспорт харажатлари</v>
          </cell>
          <cell r="C60">
            <v>7108314</v>
          </cell>
          <cell r="D60">
            <v>7108314</v>
          </cell>
          <cell r="E60"/>
        </row>
        <row r="61">
          <cell r="B61" t="str">
            <v>Маъмурий харажатлар</v>
          </cell>
          <cell r="C61">
            <v>36719946</v>
          </cell>
          <cell r="D61">
            <v>36719946</v>
          </cell>
          <cell r="E61"/>
        </row>
        <row r="62">
          <cell r="B62" t="str">
            <v>Репрезентация ва хайрия</v>
          </cell>
          <cell r="C62">
            <v>152193214</v>
          </cell>
          <cell r="D62">
            <v>152193214</v>
          </cell>
          <cell r="E62"/>
        </row>
        <row r="63">
          <cell r="B63" t="str">
            <v>Эскириш харажатлари</v>
          </cell>
          <cell r="C63">
            <v>123470679</v>
          </cell>
          <cell r="D63">
            <v>123470679</v>
          </cell>
          <cell r="E63"/>
        </row>
        <row r="64">
          <cell r="B64" t="str">
            <v>Суғурта харажатлари</v>
          </cell>
          <cell r="C64">
            <v>50080484</v>
          </cell>
          <cell r="D64">
            <v>50080484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12380390</v>
          </cell>
          <cell r="D65">
            <v>12380390</v>
          </cell>
          <cell r="E65"/>
        </row>
        <row r="66">
          <cell r="B66" t="str">
            <v>Жарима ва пенялар</v>
          </cell>
          <cell r="C66">
            <v>2928276</v>
          </cell>
          <cell r="D66">
            <v>2928276</v>
          </cell>
          <cell r="E66"/>
        </row>
        <row r="67">
          <cell r="B67" t="str">
            <v>Бошқа операцион харажатлар</v>
          </cell>
          <cell r="C67">
            <v>17532192</v>
          </cell>
          <cell r="D67">
            <v>17532192</v>
          </cell>
          <cell r="E67"/>
        </row>
        <row r="68">
          <cell r="B68" t="str">
            <v>Жами операцион харажатлар</v>
          </cell>
          <cell r="C68">
            <v>972386446</v>
          </cell>
          <cell r="D68">
            <v>972386446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727216195</v>
          </cell>
          <cell r="D70">
            <v>-112823345</v>
          </cell>
          <cell r="E70">
            <v>840039540</v>
          </cell>
        </row>
        <row r="71">
          <cell r="B71" t="str">
            <v>Фойда солиғини баҳолаш</v>
          </cell>
          <cell r="C71">
            <v>124850561</v>
          </cell>
          <cell r="D71">
            <v>124850561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602365634</v>
          </cell>
          <cell r="D73">
            <v>-237673906</v>
          </cell>
          <cell r="E73">
            <v>840039540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602365634</v>
          </cell>
          <cell r="D77">
            <v>-237673906</v>
          </cell>
          <cell r="E77">
            <v>840039540</v>
          </cell>
        </row>
      </sheetData>
      <sheetData sheetId="2">
        <row r="7">
          <cell r="C7">
            <v>3740737424</v>
          </cell>
        </row>
        <row r="9">
          <cell r="C9">
            <v>585313792</v>
          </cell>
          <cell r="E9">
            <v>0</v>
          </cell>
          <cell r="G9">
            <v>208793148</v>
          </cell>
        </row>
      </sheetData>
      <sheetData sheetId="3"/>
      <sheetData sheetId="4">
        <row r="7">
          <cell r="I7">
            <v>0.15458638410037692</v>
          </cell>
        </row>
        <row r="9">
          <cell r="I9">
            <v>0.11084497068880454</v>
          </cell>
        </row>
        <row r="11">
          <cell r="I11">
            <v>0.11084497068880454</v>
          </cell>
        </row>
        <row r="13">
          <cell r="I13">
            <v>0.10713528497386635</v>
          </cell>
        </row>
        <row r="16">
          <cell r="I16">
            <v>0.23581903922353956</v>
          </cell>
        </row>
        <row r="18">
          <cell r="I18">
            <v>1.4484004242949242</v>
          </cell>
        </row>
        <row r="21">
          <cell r="I21">
            <v>1.1011958125398766</v>
          </cell>
        </row>
      </sheetData>
      <sheetData sheetId="5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"/>
      <sheetName val="Bank Asset Analysis"/>
      <sheetName val="Bank Liabilities Analysis"/>
      <sheetName val="Economic Normative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274617562</v>
          </cell>
          <cell r="D5">
            <v>25894565</v>
          </cell>
          <cell r="E5">
            <v>248722997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2149789277</v>
          </cell>
          <cell r="D6">
            <v>2124481017</v>
          </cell>
          <cell r="E6">
            <v>25308260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5244963277</v>
          </cell>
          <cell r="D7">
            <v>145383999</v>
          </cell>
          <cell r="E7">
            <v>5099579278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5246668205</v>
          </cell>
          <cell r="D8">
            <v>145383999</v>
          </cell>
          <cell r="E8">
            <v>5101284206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1704928</v>
          </cell>
          <cell r="D9">
            <v>0</v>
          </cell>
          <cell r="E9">
            <v>1704928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1171493085</v>
          </cell>
          <cell r="D10">
            <v>1170918147</v>
          </cell>
          <cell r="E10">
            <v>574938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1235102580</v>
          </cell>
          <cell r="D11">
            <v>1234527642</v>
          </cell>
          <cell r="E11">
            <v>574938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-63609495</v>
          </cell>
          <cell r="D12">
            <v>-63609495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16872</v>
          </cell>
          <cell r="D14">
            <v>0</v>
          </cell>
          <cell r="E14">
            <v>16872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16872</v>
          </cell>
          <cell r="D15">
            <v>0</v>
          </cell>
          <cell r="E15">
            <v>16872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3721926915</v>
          </cell>
          <cell r="D24">
            <v>616691790</v>
          </cell>
          <cell r="E24">
            <v>3105235125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3722322940</v>
          </cell>
          <cell r="D25">
            <v>616899451</v>
          </cell>
          <cell r="E25">
            <v>3105423489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396025</v>
          </cell>
          <cell r="D26">
            <v>207661</v>
          </cell>
          <cell r="E26">
            <v>188364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69982360</v>
          </cell>
          <cell r="D30">
            <v>69982360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49201552</v>
          </cell>
          <cell r="D31">
            <v>22081835</v>
          </cell>
          <cell r="E31">
            <v>27119717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49171552</v>
          </cell>
          <cell r="D32">
            <v>22050495</v>
          </cell>
          <cell r="E32">
            <v>27121057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36034</v>
          </cell>
          <cell r="D33">
            <v>36034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6034</v>
          </cell>
          <cell r="D34">
            <v>4694</v>
          </cell>
          <cell r="E34">
            <v>1340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90158959</v>
          </cell>
          <cell r="D39">
            <v>90158959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37183627</v>
          </cell>
          <cell r="D40">
            <v>37183627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52570947</v>
          </cell>
          <cell r="D41">
            <v>52570947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404385</v>
          </cell>
          <cell r="D42">
            <v>404385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57300142</v>
          </cell>
          <cell r="D43">
            <v>57018489</v>
          </cell>
          <cell r="E43">
            <v>281653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57300142</v>
          </cell>
          <cell r="D44">
            <v>57018489</v>
          </cell>
          <cell r="E44">
            <v>281653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12649132083</v>
          </cell>
          <cell r="D47">
            <v>4142293243</v>
          </cell>
          <cell r="E47">
            <v>8506838840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7668631562</v>
          </cell>
          <cell r="D50">
            <v>2252484696</v>
          </cell>
          <cell r="E50">
            <v>5416146866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1441381</v>
          </cell>
          <cell r="D51">
            <v>0</v>
          </cell>
          <cell r="E51">
            <v>1441381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1597790</v>
          </cell>
          <cell r="D52">
            <v>1597790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2823372090</v>
          </cell>
          <cell r="D53">
            <v>6601300</v>
          </cell>
          <cell r="E53">
            <v>2816770790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/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/>
          <cell r="E57"/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16265262</v>
          </cell>
          <cell r="D58">
            <v>1657348</v>
          </cell>
          <cell r="E58">
            <v>14607914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3747</v>
          </cell>
          <cell r="D59">
            <v>3747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4247955</v>
          </cell>
          <cell r="D61">
            <v>4247955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23365036</v>
          </cell>
          <cell r="D62">
            <v>8519574</v>
          </cell>
          <cell r="E62">
            <v>14845462</v>
          </cell>
        </row>
        <row r="63">
          <cell r="A63" t="str">
            <v>29</v>
          </cell>
          <cell r="B63" t="str">
            <v>Жами мажбуриятлар</v>
          </cell>
          <cell r="C63">
            <v>10538924823</v>
          </cell>
          <cell r="D63">
            <v>2275112410</v>
          </cell>
          <cell r="E63">
            <v>8263812413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506361305</v>
          </cell>
          <cell r="D67">
            <v>506361305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506361305</v>
          </cell>
          <cell r="D68">
            <v>506361305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/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63052957</v>
          </cell>
          <cell r="D71">
            <v>63052957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63052957</v>
          </cell>
          <cell r="D72">
            <v>63052957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/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>
            <v>0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1540792998</v>
          </cell>
          <cell r="D75">
            <v>1540792998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310990569</v>
          </cell>
          <cell r="D76">
            <v>310990569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2110207260</v>
          </cell>
          <cell r="D77">
            <v>2110207260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12649132083</v>
          </cell>
          <cell r="D78">
            <v>4385319670</v>
          </cell>
          <cell r="E78">
            <v>8263812413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67857534</v>
          </cell>
          <cell r="D6">
            <v>67857534</v>
          </cell>
        </row>
        <row r="7">
          <cell r="B7" t="str">
            <v>Бошқа банклардаги ҳисобварақлар бўйича фоизли даромадлар</v>
          </cell>
          <cell r="C7">
            <v>91863540</v>
          </cell>
          <cell r="D7">
            <v>13471232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98703143</v>
          </cell>
          <cell r="D9">
            <v>98703143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182982140</v>
          </cell>
          <cell r="D12">
            <v>54705316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13685422</v>
          </cell>
          <cell r="D13">
            <v>13685422</v>
          </cell>
        </row>
        <row r="14">
          <cell r="B14" t="str">
            <v>Бошқа фоизли даромадлар</v>
          </cell>
          <cell r="C14">
            <v>0</v>
          </cell>
          <cell r="D14"/>
        </row>
        <row r="15">
          <cell r="B15" t="str">
            <v>Жами фоизли даромадлар</v>
          </cell>
          <cell r="C15">
            <v>455091779</v>
          </cell>
          <cell r="D15">
            <v>248422647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17295628</v>
          </cell>
          <cell r="D18">
            <v>6933817</v>
          </cell>
        </row>
        <row r="19">
          <cell r="B19" t="str">
            <v>Муддатли депозитлар бўйича фоизли харажатлар</v>
          </cell>
          <cell r="C19">
            <v>0</v>
          </cell>
          <cell r="D19"/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/>
        </row>
        <row r="21">
          <cell r="B21" t="str">
            <v>Бошқа банкларнинг ҳисобварақлари бўйича фоизли харажатлар</v>
          </cell>
          <cell r="C21">
            <v>63523409</v>
          </cell>
          <cell r="D21">
            <v>0</v>
          </cell>
        </row>
        <row r="22">
          <cell r="B22" t="str">
            <v>Жами депозитлар бўйича фоизли харажатлар</v>
          </cell>
          <cell r="C22">
            <v>80819037</v>
          </cell>
          <cell r="D22">
            <v>6933817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</row>
        <row r="25">
          <cell r="B25" t="str">
            <v>Бошқа фоизли харажатлар</v>
          </cell>
          <cell r="C25">
            <v>0</v>
          </cell>
          <cell r="D25"/>
        </row>
        <row r="26">
          <cell r="B26" t="str">
            <v>Жами кредит ва бошқа қарздорликлар бўйича фоизли харажатлар</v>
          </cell>
          <cell r="C26">
            <v>0</v>
          </cell>
          <cell r="D26">
            <v>0</v>
          </cell>
        </row>
        <row r="27">
          <cell r="B27" t="str">
            <v>Жами фоизли харажатлар</v>
          </cell>
          <cell r="C27">
            <v>80819037</v>
          </cell>
          <cell r="D27">
            <v>6933817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374272742</v>
          </cell>
          <cell r="D29">
            <v>241488830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3834409</v>
          </cell>
          <cell r="D30">
            <v>3834409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32616615</v>
          </cell>
          <cell r="D33">
            <v>31222326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337821718</v>
          </cell>
          <cell r="D34">
            <v>206432095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41091348</v>
          </cell>
          <cell r="D37">
            <v>31307688</v>
          </cell>
        </row>
        <row r="38">
          <cell r="B38" t="str">
            <v>Хорижий валюталардаги фойда</v>
          </cell>
          <cell r="C38">
            <v>93589874</v>
          </cell>
          <cell r="D38">
            <v>5131864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/>
        </row>
        <row r="40">
          <cell r="B40" t="str">
            <v>Инвестициядан олинган фойда ва дивидендлар</v>
          </cell>
          <cell r="C40">
            <v>2948044</v>
          </cell>
          <cell r="D40">
            <v>2948044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16250672</v>
          </cell>
          <cell r="D41">
            <v>15872531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</row>
        <row r="43">
          <cell r="B43" t="str">
            <v>Бошқа фоизсиз даромадлар</v>
          </cell>
          <cell r="C43">
            <v>467886</v>
          </cell>
          <cell r="D43">
            <v>451340</v>
          </cell>
        </row>
        <row r="44">
          <cell r="B44" t="str">
            <v>Жами фоизсиз даромадлар</v>
          </cell>
          <cell r="C44">
            <v>154347824</v>
          </cell>
          <cell r="D44">
            <v>55711467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9802248</v>
          </cell>
          <cell r="D47">
            <v>3682356</v>
          </cell>
        </row>
        <row r="48">
          <cell r="B48" t="str">
            <v>Хорижий валютада кўрилган зарарлар</v>
          </cell>
          <cell r="C48">
            <v>42029102</v>
          </cell>
          <cell r="D48">
            <v>239409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</row>
        <row r="50">
          <cell r="B50" t="str">
            <v>Инвестициядан кўрилган зарарлар</v>
          </cell>
          <cell r="C50">
            <v>0</v>
          </cell>
          <cell r="D50"/>
        </row>
        <row r="51">
          <cell r="B51" t="str">
            <v>Бошқа фоизсиз харажатлар</v>
          </cell>
          <cell r="C51">
            <v>25435</v>
          </cell>
          <cell r="D51">
            <v>25435</v>
          </cell>
        </row>
        <row r="52">
          <cell r="B52" t="str">
            <v>Жами фоизсиз харажатлар</v>
          </cell>
          <cell r="C52">
            <v>51856785</v>
          </cell>
          <cell r="D52">
            <v>3947200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440312757</v>
          </cell>
          <cell r="D54">
            <v>258196362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51377671</v>
          </cell>
          <cell r="D57">
            <v>51377671</v>
          </cell>
        </row>
        <row r="58">
          <cell r="B58" t="str">
            <v xml:space="preserve">шундан, раҳбар ходимларга тўловлар </v>
          </cell>
          <cell r="C58">
            <v>13246085</v>
          </cell>
          <cell r="D58">
            <v>13246085</v>
          </cell>
        </row>
        <row r="59">
          <cell r="B59" t="str">
            <v>Ижара ва таъминот харажатлари</v>
          </cell>
          <cell r="C59">
            <v>3784505</v>
          </cell>
          <cell r="D59">
            <v>3784505</v>
          </cell>
        </row>
        <row r="60">
          <cell r="B60" t="str">
            <v>Хизмат сафари ва транспорт харажатлари</v>
          </cell>
          <cell r="C60">
            <v>311546</v>
          </cell>
          <cell r="D60">
            <v>311546</v>
          </cell>
        </row>
        <row r="61">
          <cell r="B61" t="str">
            <v>Маъмурий харажатлар</v>
          </cell>
          <cell r="C61">
            <v>6759573</v>
          </cell>
          <cell r="D61">
            <v>6759573</v>
          </cell>
        </row>
        <row r="62">
          <cell r="B62" t="str">
            <v>Репрезентация ва хайрия</v>
          </cell>
          <cell r="C62">
            <v>3069225</v>
          </cell>
          <cell r="D62">
            <v>3069225</v>
          </cell>
        </row>
        <row r="63">
          <cell r="B63" t="str">
            <v>Эскириш харажатлари</v>
          </cell>
          <cell r="C63">
            <v>6588330</v>
          </cell>
          <cell r="D63">
            <v>6588330</v>
          </cell>
        </row>
        <row r="64">
          <cell r="B64" t="str">
            <v>Суғурта харажатлари</v>
          </cell>
          <cell r="C64">
            <v>130401</v>
          </cell>
          <cell r="D64">
            <v>130401</v>
          </cell>
        </row>
        <row r="65">
          <cell r="B65" t="str">
            <v>Солиқлар (фойда солиғидан ташқари) ва лицензиялар</v>
          </cell>
          <cell r="C65">
            <v>4072990</v>
          </cell>
          <cell r="D65">
            <v>4072990</v>
          </cell>
        </row>
        <row r="66">
          <cell r="B66" t="str">
            <v>Жарима ва пенялар</v>
          </cell>
          <cell r="C66">
            <v>50000</v>
          </cell>
          <cell r="D66">
            <v>50000</v>
          </cell>
        </row>
        <row r="67">
          <cell r="B67" t="str">
            <v>Бошқа операцион харажатлар</v>
          </cell>
          <cell r="C67">
            <v>1449262</v>
          </cell>
          <cell r="D67">
            <v>1449262</v>
          </cell>
        </row>
        <row r="68">
          <cell r="B68" t="str">
            <v>Жами операцион харажатлар</v>
          </cell>
          <cell r="C68">
            <v>77593503</v>
          </cell>
          <cell r="D68">
            <v>77593503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362719254</v>
          </cell>
          <cell r="D70">
            <v>180602859</v>
          </cell>
        </row>
        <row r="71">
          <cell r="B71" t="str">
            <v>Фойда солиғини баҳолаш</v>
          </cell>
          <cell r="C71">
            <v>51728685</v>
          </cell>
          <cell r="D71">
            <v>51728685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310990569</v>
          </cell>
          <cell r="D73">
            <v>128874174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310990569</v>
          </cell>
          <cell r="D77">
            <v>128874174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949789277</v>
          </cell>
        </row>
        <row r="9">
          <cell r="C9">
            <v>362854087</v>
          </cell>
          <cell r="E9">
            <v>4140249368</v>
          </cell>
          <cell r="G9">
            <v>544127590</v>
          </cell>
        </row>
      </sheetData>
      <sheetData sheetId="3"/>
      <sheetData sheetId="4">
        <row r="7">
          <cell r="I7">
            <v>0.34931417850502638</v>
          </cell>
        </row>
        <row r="9">
          <cell r="I9">
            <v>0.28717638462285305</v>
          </cell>
        </row>
        <row r="11">
          <cell r="I11">
            <v>0.28717638462285305</v>
          </cell>
        </row>
        <row r="13">
          <cell r="I13">
            <v>0.13394814077649636</v>
          </cell>
        </row>
        <row r="16">
          <cell r="I16">
            <v>0.53730626831972184</v>
          </cell>
        </row>
        <row r="18">
          <cell r="I18">
            <v>15.304119604766511</v>
          </cell>
        </row>
        <row r="21">
          <cell r="I21">
            <v>2.590675791736277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1 т"/>
      <sheetName val="3 т"/>
      <sheetName val="17 т"/>
      <sheetName val="18 т"/>
      <sheetName val="22 т"/>
      <sheetName val="23 т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44233044</v>
          </cell>
          <cell r="D5">
            <v>15385282</v>
          </cell>
          <cell r="E5">
            <v>28847762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89211735</v>
          </cell>
          <cell r="D6">
            <v>89211735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12773567</v>
          </cell>
          <cell r="D7">
            <v>120032</v>
          </cell>
          <cell r="E7">
            <v>12653535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12848504</v>
          </cell>
          <cell r="D8">
            <v>194969</v>
          </cell>
          <cell r="E8">
            <v>12653535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74937</v>
          </cell>
          <cell r="D9">
            <v>74937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396435506</v>
          </cell>
          <cell r="D24">
            <v>332616471</v>
          </cell>
          <cell r="E24">
            <v>63819035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414107979</v>
          </cell>
          <cell r="D25">
            <v>350288944</v>
          </cell>
          <cell r="E25">
            <v>63819035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17672473</v>
          </cell>
          <cell r="D26">
            <v>17672473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197780166</v>
          </cell>
          <cell r="D30">
            <v>197780166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10472601</v>
          </cell>
          <cell r="D31">
            <v>10373870</v>
          </cell>
          <cell r="E31">
            <v>98731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18021123</v>
          </cell>
          <cell r="D32">
            <v>17922392</v>
          </cell>
          <cell r="E32">
            <v>98731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27117</v>
          </cell>
          <cell r="D33">
            <v>27117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7575639</v>
          </cell>
          <cell r="D34">
            <v>7575639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47189044</v>
          </cell>
          <cell r="D35">
            <v>47189044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35346937</v>
          </cell>
          <cell r="D36">
            <v>35346937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17620544</v>
          </cell>
          <cell r="D37">
            <v>17620544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5778437</v>
          </cell>
          <cell r="D38">
            <v>5778437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5081634</v>
          </cell>
          <cell r="D39">
            <v>5081634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2750375</v>
          </cell>
          <cell r="D40">
            <v>2750375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2237876</v>
          </cell>
          <cell r="D41">
            <v>2237876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93383</v>
          </cell>
          <cell r="D42">
            <v>93383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97089108</v>
          </cell>
          <cell r="D43">
            <v>96767667</v>
          </cell>
          <cell r="E43">
            <v>321441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97092435</v>
          </cell>
          <cell r="D44">
            <v>96770994</v>
          </cell>
          <cell r="E44">
            <v>321441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3327</v>
          </cell>
          <cell r="D45">
            <v>3327</v>
          </cell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890103137</v>
          </cell>
          <cell r="D47">
            <v>784362633</v>
          </cell>
          <cell r="E47">
            <v>105740504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34061056</v>
          </cell>
          <cell r="D50">
            <v>17248172</v>
          </cell>
          <cell r="E50">
            <v>16812884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87617498</v>
          </cell>
          <cell r="D51">
            <v>60535655</v>
          </cell>
          <cell r="E51">
            <v>27081843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0</v>
          </cell>
          <cell r="D52">
            <v>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148956653</v>
          </cell>
          <cell r="D53">
            <v>75000000</v>
          </cell>
          <cell r="E53">
            <v>73956653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92484105</v>
          </cell>
          <cell r="D55">
            <v>92484105</v>
          </cell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304567</v>
          </cell>
          <cell r="D58">
            <v>282405</v>
          </cell>
          <cell r="E58">
            <v>22162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725857</v>
          </cell>
          <cell r="D59">
            <v>725857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750</v>
          </cell>
          <cell r="D60">
            <v>750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/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1446761</v>
          </cell>
          <cell r="D62">
            <v>1429398</v>
          </cell>
          <cell r="E62">
            <v>17363</v>
          </cell>
        </row>
        <row r="63">
          <cell r="A63" t="str">
            <v>29</v>
          </cell>
          <cell r="B63" t="str">
            <v>Жами мажбуриятлар</v>
          </cell>
          <cell r="C63">
            <v>365597247</v>
          </cell>
          <cell r="D63">
            <v>247706342</v>
          </cell>
          <cell r="E63">
            <v>117890905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4396522</v>
          </cell>
          <cell r="D70">
            <v>4396522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5216453</v>
          </cell>
          <cell r="D71">
            <v>5216453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5214512</v>
          </cell>
          <cell r="D72">
            <v>5214512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1941</v>
          </cell>
          <cell r="D74">
            <v>1941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14892915</v>
          </cell>
          <cell r="D75">
            <v>14892915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7648389</v>
          </cell>
          <cell r="D76">
            <v>7648389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524505890</v>
          </cell>
          <cell r="D77">
            <v>524505890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890103137</v>
          </cell>
          <cell r="D78">
            <v>772212232</v>
          </cell>
          <cell r="E78">
            <v>117890905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4171199</v>
          </cell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32380686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0</v>
          </cell>
        </row>
        <row r="15">
          <cell r="B15" t="str">
            <v>Жами фоизли даромадлар</v>
          </cell>
          <cell r="C15">
            <v>36551885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281</v>
          </cell>
        </row>
        <row r="19">
          <cell r="B19" t="str">
            <v>Муддатли депозитлар бўйича фоизли харажатлар</v>
          </cell>
          <cell r="C19">
            <v>4085074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4667669</v>
          </cell>
        </row>
        <row r="22">
          <cell r="B22" t="str">
            <v>Жами депозитлар бўйича фоизли харажатлар</v>
          </cell>
          <cell r="C22">
            <v>8753024</v>
          </cell>
        </row>
        <row r="23">
          <cell r="B23" t="str">
            <v>Кредитлар бўйича фоизли харажатлар</v>
          </cell>
          <cell r="C23">
            <v>4172009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</row>
        <row r="25">
          <cell r="B25" t="str">
            <v>Бошқа фоизли харажатлар</v>
          </cell>
          <cell r="C25">
            <v>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4172009</v>
          </cell>
        </row>
        <row r="27">
          <cell r="B27" t="str">
            <v>Жами фоизли харажатлар</v>
          </cell>
          <cell r="C27">
            <v>12925033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23626852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4776393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4564730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14285729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3899820</v>
          </cell>
        </row>
        <row r="38">
          <cell r="B38" t="str">
            <v>Хорижий валюталардаги фойда</v>
          </cell>
          <cell r="C38">
            <v>4482621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3463562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9616826</v>
          </cell>
        </row>
        <row r="43">
          <cell r="B43" t="str">
            <v>Бошқа фоизсиз даромадлар</v>
          </cell>
          <cell r="C43">
            <v>75592</v>
          </cell>
        </row>
        <row r="44">
          <cell r="B44" t="str">
            <v>Жами фоизсиз даромадлар</v>
          </cell>
          <cell r="C44">
            <v>21538421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3178807</v>
          </cell>
        </row>
        <row r="48">
          <cell r="B48" t="str">
            <v>Хорижий валютада кўрилган зарарлар</v>
          </cell>
          <cell r="C48">
            <v>2478888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0</v>
          </cell>
        </row>
        <row r="52">
          <cell r="B52" t="str">
            <v>Жами фоизсиз харажатлар</v>
          </cell>
          <cell r="C52">
            <v>5657695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30166455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14459837</v>
          </cell>
        </row>
        <row r="58">
          <cell r="B58" t="str">
            <v xml:space="preserve">шундан, раҳбар ходимларга тўловлар </v>
          </cell>
          <cell r="C58">
            <v>1680816</v>
          </cell>
        </row>
        <row r="59">
          <cell r="B59" t="str">
            <v>Ижара ва таъминот харажатлари</v>
          </cell>
          <cell r="C59">
            <v>1925735</v>
          </cell>
        </row>
        <row r="60">
          <cell r="B60" t="str">
            <v>Хизмат сафари ва транспорт харажатлари</v>
          </cell>
          <cell r="C60">
            <v>336643</v>
          </cell>
        </row>
        <row r="61">
          <cell r="B61" t="str">
            <v>Маъмурий харажатлар</v>
          </cell>
          <cell r="C61">
            <v>435161</v>
          </cell>
        </row>
        <row r="62">
          <cell r="B62" t="str">
            <v>Репрезентация ва хайрия</v>
          </cell>
          <cell r="C62">
            <v>114714</v>
          </cell>
        </row>
        <row r="63">
          <cell r="B63" t="str">
            <v>Эскириш харажатлари</v>
          </cell>
          <cell r="C63">
            <v>2560592</v>
          </cell>
        </row>
        <row r="64">
          <cell r="B64" t="str">
            <v>Суғурта харажатлари</v>
          </cell>
          <cell r="C64">
            <v>26008</v>
          </cell>
        </row>
        <row r="65">
          <cell r="B65" t="str">
            <v>Солиқлар (фойда солиғидан ташқари) ва лицензиялар</v>
          </cell>
          <cell r="C65">
            <v>172293</v>
          </cell>
        </row>
        <row r="66">
          <cell r="B66" t="str">
            <v>Жарима ва пенялар</v>
          </cell>
          <cell r="C66">
            <v>1436</v>
          </cell>
        </row>
        <row r="67">
          <cell r="B67" t="str">
            <v>Бошқа операцион харажатлар</v>
          </cell>
          <cell r="C67">
            <v>50069</v>
          </cell>
        </row>
        <row r="68">
          <cell r="B68" t="str">
            <v>Жами операцион харажатлар</v>
          </cell>
          <cell r="C68">
            <v>20082488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10083967</v>
          </cell>
        </row>
        <row r="71">
          <cell r="B71" t="str">
            <v>Фойда солиғини баҳолаш</v>
          </cell>
          <cell r="C71">
            <v>2435578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7648389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7648389</v>
          </cell>
        </row>
        <row r="79">
          <cell r="B79" t="str">
            <v>Бошқарув Раис имзоси:</v>
          </cell>
          <cell r="C79"/>
        </row>
        <row r="80">
          <cell r="B80"/>
          <cell r="C80"/>
        </row>
        <row r="81">
          <cell r="B81" t="str">
            <v>Бош бухгалтер имзоси:</v>
          </cell>
          <cell r="C81"/>
        </row>
      </sheetData>
      <sheetData sheetId="2">
        <row r="7">
          <cell r="C7">
            <v>5211735</v>
          </cell>
        </row>
        <row r="9">
          <cell r="C9">
            <v>12773567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0.43207459852468527</v>
          </cell>
        </row>
        <row r="9">
          <cell r="I9">
            <v>0.42168782003400934</v>
          </cell>
        </row>
        <row r="11">
          <cell r="I11">
            <v>0.42168782003400934</v>
          </cell>
        </row>
        <row r="13">
          <cell r="I13">
            <v>0.55829552804165306</v>
          </cell>
        </row>
        <row r="16">
          <cell r="I16">
            <v>0.16116265749100489</v>
          </cell>
        </row>
        <row r="18">
          <cell r="I18">
            <v>3.24712289923762</v>
          </cell>
        </row>
        <row r="21">
          <cell r="I21">
            <v>1.2587817116261291</v>
          </cell>
        </row>
      </sheetData>
      <sheetData sheetId="5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"/>
      <sheetName val="Bank Assets Analysis"/>
      <sheetName val="Bank Liabilities Analysis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2647424300</v>
          </cell>
          <cell r="D5">
            <v>1461343129</v>
          </cell>
          <cell r="E5">
            <v>1186081171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3110366116</v>
          </cell>
          <cell r="D6">
            <v>3110366116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21753891469</v>
          </cell>
          <cell r="D7">
            <v>962300507</v>
          </cell>
          <cell r="E7">
            <v>20791590962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21781555916</v>
          </cell>
          <cell r="D8">
            <v>962300507</v>
          </cell>
          <cell r="E8">
            <v>20819255409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27664447</v>
          </cell>
          <cell r="D9">
            <v>0</v>
          </cell>
          <cell r="E9">
            <v>27664447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4061535687</v>
          </cell>
          <cell r="D10">
            <v>3019693846</v>
          </cell>
          <cell r="E10">
            <v>1041841841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4087549716</v>
          </cell>
          <cell r="D11">
            <v>3025792284</v>
          </cell>
          <cell r="E11">
            <v>1061757432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-26014029</v>
          </cell>
          <cell r="D12">
            <v>-6098438</v>
          </cell>
          <cell r="E12">
            <v>-19915591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35</v>
          </cell>
          <cell r="D14">
            <v>35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35</v>
          </cell>
          <cell r="D15">
            <v>35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2449901644</v>
          </cell>
          <cell r="D17">
            <v>2339358960</v>
          </cell>
          <cell r="E17">
            <v>110542684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3426825844</v>
          </cell>
          <cell r="D18">
            <v>3316283160</v>
          </cell>
          <cell r="E18">
            <v>110542684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976924200</v>
          </cell>
          <cell r="D20">
            <v>976924200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101115343057</v>
          </cell>
          <cell r="D24">
            <v>36402647230</v>
          </cell>
          <cell r="E24">
            <v>64712695827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109302635775</v>
          </cell>
          <cell r="D25">
            <v>39168376673</v>
          </cell>
          <cell r="E25">
            <v>70134259102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8187292718</v>
          </cell>
          <cell r="D26">
            <v>2765729443</v>
          </cell>
          <cell r="E26">
            <v>5421563275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22286</v>
          </cell>
          <cell r="D27">
            <v>0</v>
          </cell>
          <cell r="E27">
            <v>22286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4067990</v>
          </cell>
          <cell r="D28">
            <v>4045704</v>
          </cell>
          <cell r="E28">
            <v>22286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4045704</v>
          </cell>
          <cell r="D29">
            <v>4045704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1593898516</v>
          </cell>
          <cell r="D30">
            <v>1593898516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4009818721</v>
          </cell>
          <cell r="D31">
            <v>1510502154</v>
          </cell>
          <cell r="E31">
            <v>2499316567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5118681477</v>
          </cell>
          <cell r="D32">
            <v>2275234126</v>
          </cell>
          <cell r="E32">
            <v>2843447351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35973345</v>
          </cell>
          <cell r="D33">
            <v>6154454</v>
          </cell>
          <cell r="E33">
            <v>29818891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1144836101</v>
          </cell>
          <cell r="D34">
            <v>770886426</v>
          </cell>
          <cell r="E34">
            <v>373949675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81413298</v>
          </cell>
          <cell r="D35">
            <v>81413298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397692298</v>
          </cell>
          <cell r="D36">
            <v>397692298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115744215</v>
          </cell>
          <cell r="D37">
            <v>115744215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432023215</v>
          </cell>
          <cell r="D38">
            <v>432023215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684548639</v>
          </cell>
          <cell r="D39">
            <v>684548639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444055387</v>
          </cell>
          <cell r="D40">
            <v>444055387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233027991</v>
          </cell>
          <cell r="D41">
            <v>233027991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7465261</v>
          </cell>
          <cell r="D42">
            <v>7465261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1687997857</v>
          </cell>
          <cell r="D43">
            <v>1170106163</v>
          </cell>
          <cell r="E43">
            <v>517891694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1899194837</v>
          </cell>
          <cell r="D44">
            <v>1344613932</v>
          </cell>
          <cell r="E44">
            <v>554580905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211196980</v>
          </cell>
          <cell r="D45">
            <v>174507769</v>
          </cell>
          <cell r="E45">
            <v>36689211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141827064347</v>
          </cell>
          <cell r="D47">
            <v>50967081315</v>
          </cell>
          <cell r="E47">
            <v>90859983032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15135489683</v>
          </cell>
          <cell r="D50">
            <v>6829345420</v>
          </cell>
          <cell r="E50">
            <v>8306144263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29416765640</v>
          </cell>
          <cell r="D51">
            <v>18991924410</v>
          </cell>
          <cell r="E51">
            <v>10424841230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578993664</v>
          </cell>
          <cell r="D52">
            <v>6879667</v>
          </cell>
          <cell r="E52">
            <v>572113997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10411886897</v>
          </cell>
          <cell r="D53">
            <v>355127545</v>
          </cell>
          <cell r="E53">
            <v>10056759352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53396157991</v>
          </cell>
          <cell r="D55">
            <v>4274165224</v>
          </cell>
          <cell r="E55">
            <v>49121992767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8962175999</v>
          </cell>
          <cell r="D56">
            <v>1400000000</v>
          </cell>
          <cell r="E56">
            <v>7562175999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1728350485</v>
          </cell>
          <cell r="D57">
            <v>287607632</v>
          </cell>
          <cell r="E57">
            <v>1440742853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1764749006</v>
          </cell>
          <cell r="D58">
            <v>576242728</v>
          </cell>
          <cell r="E58">
            <v>1188506278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16597805</v>
          </cell>
          <cell r="D59">
            <v>16597805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39023108</v>
          </cell>
          <cell r="D60">
            <v>1015951</v>
          </cell>
          <cell r="E60">
            <v>38007157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25123620</v>
          </cell>
          <cell r="D61">
            <v>25123620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1027058823</v>
          </cell>
          <cell r="D62">
            <v>513401007</v>
          </cell>
          <cell r="E62">
            <v>513657816</v>
          </cell>
        </row>
        <row r="63">
          <cell r="A63" t="str">
            <v>29</v>
          </cell>
          <cell r="B63" t="str">
            <v>Жами мажбуриятлар</v>
          </cell>
          <cell r="C63">
            <v>122502372721</v>
          </cell>
          <cell r="D63">
            <v>33277431009</v>
          </cell>
          <cell r="E63">
            <v>89224941712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16256753164</v>
          </cell>
          <cell r="D67">
            <v>16256753164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16256753164</v>
          </cell>
          <cell r="D68">
            <v>16256753164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858688562</v>
          </cell>
          <cell r="D71">
            <v>858688562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827901319</v>
          </cell>
          <cell r="D72">
            <v>827901319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30787243</v>
          </cell>
          <cell r="D74">
            <v>30787243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2209249900</v>
          </cell>
          <cell r="D75">
            <v>2209249900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1005293850</v>
          </cell>
          <cell r="D76">
            <v>1005293850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19324691626</v>
          </cell>
          <cell r="D77">
            <v>19324691626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141827064347</v>
          </cell>
          <cell r="D78">
            <v>52602122635</v>
          </cell>
          <cell r="E78">
            <v>89224941712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60065754</v>
          </cell>
          <cell r="D6">
            <v>60065754</v>
          </cell>
        </row>
        <row r="7">
          <cell r="B7" t="str">
            <v>Бошқа банклардаги ҳисобварақлар бўйича фоизли даромадлар</v>
          </cell>
          <cell r="C7">
            <v>372623894</v>
          </cell>
          <cell r="D7">
            <v>68235260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242229326</v>
          </cell>
          <cell r="D9">
            <v>82400850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5496403538</v>
          </cell>
          <cell r="D12">
            <v>3315052752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9311664</v>
          </cell>
          <cell r="D13">
            <v>9311664</v>
          </cell>
        </row>
        <row r="14">
          <cell r="B14" t="str">
            <v>Бошқа фоизли даромадлар</v>
          </cell>
          <cell r="C14">
            <v>2192924236</v>
          </cell>
          <cell r="D14">
            <v>1406832627</v>
          </cell>
        </row>
        <row r="15">
          <cell r="B15" t="str">
            <v>Жами фоизли даромадлар</v>
          </cell>
          <cell r="C15">
            <v>8373558412</v>
          </cell>
          <cell r="D15">
            <v>4941898907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121793</v>
          </cell>
          <cell r="D18">
            <v>121793</v>
          </cell>
        </row>
        <row r="19">
          <cell r="B19" t="str">
            <v>Муддатли депозитлар бўйича фоизли харажатлар</v>
          </cell>
          <cell r="C19">
            <v>1521011648</v>
          </cell>
          <cell r="D19">
            <v>1329625839</v>
          </cell>
        </row>
        <row r="20">
          <cell r="B20" t="str">
            <v>Марказий банкнинг ҳисобварақлари бўйича фоизли харажатлар</v>
          </cell>
          <cell r="C20">
            <v>4326230</v>
          </cell>
          <cell r="D20"/>
        </row>
        <row r="21">
          <cell r="B21" t="str">
            <v>Бошқа банкларнинг ҳисобварақлари бўйича фоизли харажатлар</v>
          </cell>
          <cell r="C21">
            <v>43309275</v>
          </cell>
          <cell r="D21">
            <v>18504651</v>
          </cell>
        </row>
        <row r="22">
          <cell r="B22" t="str">
            <v>Жами депозитлар бўйича фоизли харажатлар</v>
          </cell>
          <cell r="C22">
            <v>1568768946</v>
          </cell>
          <cell r="D22">
            <v>1348252283</v>
          </cell>
        </row>
        <row r="23">
          <cell r="B23" t="str">
            <v>Кредитлар бўйича фоизли харажатлар</v>
          </cell>
          <cell r="C23">
            <v>1368668713</v>
          </cell>
          <cell r="D23">
            <v>188923563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562914</v>
          </cell>
          <cell r="D24"/>
        </row>
        <row r="25">
          <cell r="B25" t="str">
            <v>Бошқа фоизли харажатлар</v>
          </cell>
          <cell r="C25">
            <v>2638821273</v>
          </cell>
          <cell r="D25">
            <v>1556712189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4008052900</v>
          </cell>
          <cell r="D26">
            <v>1745635752</v>
          </cell>
        </row>
        <row r="27">
          <cell r="B27" t="str">
            <v>Жами фоизли харажатлар</v>
          </cell>
          <cell r="C27">
            <v>5576821846</v>
          </cell>
          <cell r="D27">
            <v>3093888035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2796736566</v>
          </cell>
          <cell r="D29">
            <v>1848010872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3221412572</v>
          </cell>
          <cell r="D30">
            <v>1320620954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1065528574</v>
          </cell>
          <cell r="D32">
            <v>657432662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838119711</v>
          </cell>
          <cell r="D33">
            <v>613635608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-2328324291</v>
          </cell>
          <cell r="D34">
            <v>-743678352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478869381</v>
          </cell>
          <cell r="D37">
            <v>420609796</v>
          </cell>
        </row>
        <row r="38">
          <cell r="B38" t="str">
            <v>Хорижий валюталардаги фойда</v>
          </cell>
          <cell r="C38">
            <v>647368500</v>
          </cell>
          <cell r="D38">
            <v>2533</v>
          </cell>
        </row>
        <row r="39">
          <cell r="B39" t="str">
            <v>Тижорат операцияларидан олинган фойда</v>
          </cell>
          <cell r="C39">
            <v>2283821</v>
          </cell>
          <cell r="D39"/>
        </row>
        <row r="40">
          <cell r="B40" t="str">
            <v>Инвестициядан олинган фойда ва дивидендлар</v>
          </cell>
          <cell r="C40">
            <v>842101153</v>
          </cell>
          <cell r="D40">
            <v>25951104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2914073785</v>
          </cell>
          <cell r="D41">
            <v>1441816913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261326719</v>
          </cell>
          <cell r="D42">
            <v>261326719</v>
          </cell>
        </row>
        <row r="43">
          <cell r="B43" t="str">
            <v>Бошқа фоизсиз даромадлар</v>
          </cell>
          <cell r="C43">
            <v>46119676</v>
          </cell>
          <cell r="D43">
            <v>40567620</v>
          </cell>
        </row>
        <row r="44">
          <cell r="B44" t="str">
            <v>Жами фоизсиз даромадлар</v>
          </cell>
          <cell r="C44">
            <v>5192143035</v>
          </cell>
          <cell r="D44">
            <v>2190274685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169493405</v>
          </cell>
          <cell r="D47">
            <v>75811053</v>
          </cell>
        </row>
        <row r="48">
          <cell r="B48" t="str">
            <v>Хорижий валютада кўрилган зарарлар</v>
          </cell>
          <cell r="C48">
            <v>206283912</v>
          </cell>
          <cell r="D48"/>
        </row>
        <row r="49">
          <cell r="B49" t="str">
            <v>Тижорат операцияларидан кўрилган зарарлар</v>
          </cell>
          <cell r="C49">
            <v>2283821</v>
          </cell>
          <cell r="D49"/>
        </row>
        <row r="50">
          <cell r="B50" t="str">
            <v>Инвестициядан кўрилган зарарлар</v>
          </cell>
          <cell r="C50">
            <v>0</v>
          </cell>
          <cell r="D50"/>
        </row>
        <row r="51">
          <cell r="B51" t="str">
            <v>Бошқа фоизсиз харажатлар</v>
          </cell>
          <cell r="C51">
            <v>91477897</v>
          </cell>
          <cell r="D51">
            <v>91335321</v>
          </cell>
        </row>
        <row r="52">
          <cell r="B52" t="str">
            <v>Жами фоизсиз харажатлар</v>
          </cell>
          <cell r="C52">
            <v>469539035</v>
          </cell>
          <cell r="D52">
            <v>167146374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2394279709</v>
          </cell>
          <cell r="D54">
            <v>1279449959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593073402</v>
          </cell>
          <cell r="D57">
            <v>592979594</v>
          </cell>
        </row>
        <row r="58">
          <cell r="B58" t="str">
            <v xml:space="preserve">шундан, раҳбар ходимларга тўловлар </v>
          </cell>
          <cell r="C58">
            <v>1538914</v>
          </cell>
          <cell r="D58">
            <v>1538914</v>
          </cell>
        </row>
        <row r="59">
          <cell r="B59" t="str">
            <v>Ижара ва таъминот харажатлари</v>
          </cell>
          <cell r="C59">
            <v>303872367</v>
          </cell>
          <cell r="D59">
            <v>155985070</v>
          </cell>
        </row>
        <row r="60">
          <cell r="B60" t="str">
            <v>Хизмат сафари ва транспорт харажатлари</v>
          </cell>
          <cell r="C60">
            <v>7680619</v>
          </cell>
          <cell r="D60">
            <v>7354179</v>
          </cell>
        </row>
        <row r="61">
          <cell r="B61" t="str">
            <v>Маъмурий харажатлар</v>
          </cell>
          <cell r="C61">
            <v>37675814</v>
          </cell>
          <cell r="D61">
            <v>32414586</v>
          </cell>
        </row>
        <row r="62">
          <cell r="B62" t="str">
            <v>Репрезентация ва хайрия</v>
          </cell>
          <cell r="C62">
            <v>48631698</v>
          </cell>
          <cell r="D62">
            <v>48627374</v>
          </cell>
        </row>
        <row r="63">
          <cell r="B63" t="str">
            <v>Эскириш харажатлари</v>
          </cell>
          <cell r="C63">
            <v>144074171</v>
          </cell>
          <cell r="D63">
            <v>144074171</v>
          </cell>
        </row>
        <row r="64">
          <cell r="B64" t="str">
            <v>Суғурта харажатлари</v>
          </cell>
          <cell r="C64">
            <v>292065</v>
          </cell>
          <cell r="D64">
            <v>292065</v>
          </cell>
        </row>
        <row r="65">
          <cell r="B65" t="str">
            <v>Солиқлар (фойда солиғидан ташқари) ва лицензиялар</v>
          </cell>
          <cell r="C65">
            <v>29244783</v>
          </cell>
          <cell r="D65">
            <v>29244783</v>
          </cell>
        </row>
        <row r="66">
          <cell r="B66" t="str">
            <v>Жарима ва пенялар</v>
          </cell>
          <cell r="C66">
            <v>780680</v>
          </cell>
          <cell r="D66">
            <v>780680</v>
          </cell>
        </row>
        <row r="67">
          <cell r="B67" t="str">
            <v>Бошқа операцион харажатлар</v>
          </cell>
          <cell r="C67">
            <v>59936867</v>
          </cell>
          <cell r="D67">
            <v>57779001</v>
          </cell>
        </row>
        <row r="68">
          <cell r="B68" t="str">
            <v>Жами операцион харажатлар</v>
          </cell>
          <cell r="C68">
            <v>1225262466</v>
          </cell>
          <cell r="D68">
            <v>1069531503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1169017243</v>
          </cell>
          <cell r="D70">
            <v>209918456</v>
          </cell>
        </row>
        <row r="71">
          <cell r="B71" t="str">
            <v>Фойда солиғини баҳолаш</v>
          </cell>
          <cell r="C71">
            <v>163723393</v>
          </cell>
          <cell r="D71">
            <v>163723393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1005293850</v>
          </cell>
          <cell r="D73">
            <v>46195063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1005293850</v>
          </cell>
          <cell r="D77">
            <v>46195063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1910366116</v>
          </cell>
        </row>
        <row r="9">
          <cell r="C9">
            <v>6693306088</v>
          </cell>
          <cell r="E9">
            <v>8632537395</v>
          </cell>
          <cell r="G9">
            <v>1265413000</v>
          </cell>
        </row>
      </sheetData>
      <sheetData sheetId="3"/>
      <sheetData sheetId="4">
        <row r="7">
          <cell r="I7">
            <v>0.18740138799213635</v>
          </cell>
        </row>
        <row r="9">
          <cell r="I9">
            <v>0.16350604338926009</v>
          </cell>
        </row>
        <row r="11">
          <cell r="I11">
            <v>0.16350604338926009</v>
          </cell>
        </row>
        <row r="13">
          <cell r="I13">
            <v>0.12167563151785039</v>
          </cell>
        </row>
        <row r="16">
          <cell r="I16">
            <v>0.15849762652494395</v>
          </cell>
        </row>
        <row r="18">
          <cell r="I18">
            <v>1.288461687305376</v>
          </cell>
        </row>
        <row r="21">
          <cell r="I21">
            <v>1.0941473056415809</v>
          </cell>
        </row>
      </sheetData>
      <sheetData sheetId="5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"/>
      <sheetName val="Bank Assets Analysis"/>
      <sheetName val="Bank Liabilities Analysis"/>
      <sheetName val="Economic Normative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269888635</v>
          </cell>
          <cell r="D5">
            <v>155746784</v>
          </cell>
          <cell r="E5">
            <v>114141851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4206551418</v>
          </cell>
          <cell r="D6">
            <v>2528852633</v>
          </cell>
          <cell r="E6">
            <v>1677698785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601834418</v>
          </cell>
          <cell r="D7">
            <v>128036159</v>
          </cell>
          <cell r="E7">
            <v>473798259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602004142</v>
          </cell>
          <cell r="D8">
            <v>128036159</v>
          </cell>
          <cell r="E8">
            <v>473967983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169724</v>
          </cell>
          <cell r="D9">
            <v>0</v>
          </cell>
          <cell r="E9">
            <v>169724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9765006</v>
          </cell>
          <cell r="D10">
            <v>9765006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10000000</v>
          </cell>
          <cell r="D11">
            <v>10000000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-234994</v>
          </cell>
          <cell r="D12">
            <v>-234994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67756726</v>
          </cell>
          <cell r="D17">
            <v>67756726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67756726</v>
          </cell>
          <cell r="D18">
            <v>67756726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12863307798</v>
          </cell>
          <cell r="D24">
            <v>7006496461</v>
          </cell>
          <cell r="E24">
            <v>5856811337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12953884236</v>
          </cell>
          <cell r="D25">
            <v>7017725007</v>
          </cell>
          <cell r="E25">
            <v>5936159229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90576438</v>
          </cell>
          <cell r="D26">
            <v>11228546</v>
          </cell>
          <cell r="E26">
            <v>79347892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543165337</v>
          </cell>
          <cell r="D30">
            <v>543165337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188922035</v>
          </cell>
          <cell r="D31">
            <v>89172838</v>
          </cell>
          <cell r="E31">
            <v>99749197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195076016</v>
          </cell>
          <cell r="D32">
            <v>89854566</v>
          </cell>
          <cell r="E32">
            <v>105221450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197243</v>
          </cell>
          <cell r="D33">
            <v>197243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6351224</v>
          </cell>
          <cell r="D34">
            <v>878971</v>
          </cell>
          <cell r="E34">
            <v>5472253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3427592</v>
          </cell>
          <cell r="D35">
            <v>3427592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2930282</v>
          </cell>
          <cell r="D36">
            <v>2930282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3192300</v>
          </cell>
          <cell r="D37">
            <v>3192300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2694990</v>
          </cell>
          <cell r="D38">
            <v>2694990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160489739</v>
          </cell>
          <cell r="D39">
            <v>160489739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149911265</v>
          </cell>
          <cell r="D40">
            <v>149911265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8804312</v>
          </cell>
          <cell r="D41">
            <v>8804312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1774162</v>
          </cell>
          <cell r="D42">
            <v>1774162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210224369</v>
          </cell>
          <cell r="D43">
            <v>163562672</v>
          </cell>
          <cell r="E43">
            <v>46661697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210224369</v>
          </cell>
          <cell r="D44">
            <v>163562672</v>
          </cell>
          <cell r="E44">
            <v>46661697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>
            <v>0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18804353595</v>
          </cell>
          <cell r="D47">
            <v>10535492469</v>
          </cell>
          <cell r="E47">
            <v>8268861126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9183059892</v>
          </cell>
          <cell r="D50">
            <v>3960627184</v>
          </cell>
          <cell r="E50">
            <v>5222432708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3406153345</v>
          </cell>
          <cell r="D51">
            <v>2200433001</v>
          </cell>
          <cell r="E51">
            <v>1205720344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113276192</v>
          </cell>
          <cell r="D52">
            <v>113276192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659677873</v>
          </cell>
          <cell r="D53">
            <v>32402297</v>
          </cell>
          <cell r="E53">
            <v>627275576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1501202023</v>
          </cell>
          <cell r="D55">
            <v>170484899</v>
          </cell>
          <cell r="E55">
            <v>1330717124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87596330</v>
          </cell>
          <cell r="D58">
            <v>34824732</v>
          </cell>
          <cell r="E58">
            <v>52771598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27236276</v>
          </cell>
          <cell r="D59">
            <v>27236276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10034</v>
          </cell>
          <cell r="D60">
            <v>10034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19042450</v>
          </cell>
          <cell r="D61">
            <v>19042450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213504657</v>
          </cell>
          <cell r="D62">
            <v>182022434</v>
          </cell>
          <cell r="E62">
            <v>31482223</v>
          </cell>
        </row>
        <row r="63">
          <cell r="A63" t="str">
            <v>29</v>
          </cell>
          <cell r="B63" t="str">
            <v>Жами мажбуриятлар</v>
          </cell>
          <cell r="C63">
            <v>15210759072</v>
          </cell>
          <cell r="D63">
            <v>6740359499</v>
          </cell>
          <cell r="E63">
            <v>8470399573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1964125178</v>
          </cell>
          <cell r="D67">
            <v>1964125178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1963625178</v>
          </cell>
          <cell r="D68">
            <v>1963625178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500000</v>
          </cell>
          <cell r="D69">
            <v>500000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2109490</v>
          </cell>
          <cell r="D70">
            <v>2109490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141354086</v>
          </cell>
          <cell r="D71">
            <v>141354086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127304877</v>
          </cell>
          <cell r="D72">
            <v>127304877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14049209</v>
          </cell>
          <cell r="D74">
            <v>14049209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1486005769</v>
          </cell>
          <cell r="D75">
            <v>1486005769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523542563</v>
          </cell>
          <cell r="D76">
            <v>523542563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3593594523</v>
          </cell>
          <cell r="D77">
            <v>3593594523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18804353595</v>
          </cell>
          <cell r="D78">
            <v>10333954022</v>
          </cell>
          <cell r="E78">
            <v>8470399573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C86">
            <v>0</v>
          </cell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1850685</v>
          </cell>
          <cell r="D6">
            <v>1850685</v>
          </cell>
          <cell r="E6"/>
        </row>
        <row r="7">
          <cell r="B7" t="str">
            <v>Бошқа банклардаги ҳисобварақлар бўйича фоизли даромадлар</v>
          </cell>
          <cell r="C7">
            <v>23725978</v>
          </cell>
          <cell r="D7">
            <v>23725978</v>
          </cell>
          <cell r="E7"/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791788</v>
          </cell>
          <cell r="D9">
            <v>791788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997892437</v>
          </cell>
          <cell r="D12">
            <v>997892437</v>
          </cell>
          <cell r="E12"/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>
            <v>0</v>
          </cell>
          <cell r="E13"/>
        </row>
        <row r="14">
          <cell r="B14" t="str">
            <v>Бошқа фоизли даромадлар</v>
          </cell>
          <cell r="C14">
            <v>84803783</v>
          </cell>
          <cell r="D14">
            <v>84803783</v>
          </cell>
          <cell r="E14"/>
        </row>
        <row r="15">
          <cell r="B15" t="str">
            <v>Жами фоизли даромадлар</v>
          </cell>
          <cell r="C15">
            <v>1109064671</v>
          </cell>
          <cell r="D15">
            <v>1109064671</v>
          </cell>
          <cell r="E15">
            <v>0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1997710</v>
          </cell>
          <cell r="D18">
            <v>1997710</v>
          </cell>
          <cell r="E18"/>
        </row>
        <row r="19">
          <cell r="B19" t="str">
            <v>Муддатли депозитлар бўйича фоизли харажатлар</v>
          </cell>
          <cell r="C19">
            <v>260300348</v>
          </cell>
          <cell r="D19">
            <v>260300348</v>
          </cell>
          <cell r="E19"/>
        </row>
        <row r="20">
          <cell r="B20" t="str">
            <v>Марказий банкнинг ҳисобварақлари бўйича фоизли харажатлар</v>
          </cell>
          <cell r="C20">
            <v>3069537</v>
          </cell>
          <cell r="D20">
            <v>3069537</v>
          </cell>
          <cell r="E20"/>
        </row>
        <row r="21">
          <cell r="B21" t="str">
            <v>Бошқа банкларнинг ҳисобварақлари бўйича фоизли харажатлар</v>
          </cell>
          <cell r="C21">
            <v>29434917</v>
          </cell>
          <cell r="D21">
            <v>29434917</v>
          </cell>
          <cell r="E21"/>
        </row>
        <row r="22">
          <cell r="B22" t="str">
            <v>Жами депозитлар бўйича фоизли харажатлар</v>
          </cell>
          <cell r="C22">
            <v>294802512</v>
          </cell>
          <cell r="D22">
            <v>294802512</v>
          </cell>
          <cell r="E22">
            <v>0</v>
          </cell>
        </row>
        <row r="23">
          <cell r="B23" t="str">
            <v>Кредитлар бўйича фоизли харажатлар</v>
          </cell>
          <cell r="C23">
            <v>36611475</v>
          </cell>
          <cell r="D23">
            <v>36611475</v>
          </cell>
          <cell r="E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  <cell r="E24"/>
        </row>
        <row r="25">
          <cell r="B25" t="str">
            <v>Бошқа фоизли харажатлар</v>
          </cell>
          <cell r="C25">
            <v>84803783</v>
          </cell>
          <cell r="D25">
            <v>84803783</v>
          </cell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121415258</v>
          </cell>
          <cell r="D26">
            <v>121415258</v>
          </cell>
          <cell r="E26">
            <v>0</v>
          </cell>
        </row>
        <row r="27">
          <cell r="B27" t="str">
            <v>Жами фоизли харажатлар</v>
          </cell>
          <cell r="C27">
            <v>416217770</v>
          </cell>
          <cell r="D27">
            <v>416217770</v>
          </cell>
          <cell r="E27">
            <v>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692846901</v>
          </cell>
          <cell r="D29">
            <v>692846901</v>
          </cell>
          <cell r="E29">
            <v>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108583882</v>
          </cell>
          <cell r="D30">
            <v>108583882</v>
          </cell>
          <cell r="E30"/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12949286</v>
          </cell>
          <cell r="D33">
            <v>12949286</v>
          </cell>
          <cell r="E33"/>
        </row>
        <row r="34">
          <cell r="B34" t="str">
            <v>Активлар бўйича эҳтимолий зарарларни баҳолашдан кейинги соф даромад</v>
          </cell>
          <cell r="C34">
            <v>571313733</v>
          </cell>
          <cell r="D34">
            <v>571313733</v>
          </cell>
          <cell r="E34">
            <v>0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232211349</v>
          </cell>
          <cell r="D37">
            <v>232211349</v>
          </cell>
          <cell r="E37"/>
        </row>
        <row r="38">
          <cell r="B38" t="str">
            <v>Хорижий валюталардаги фойда</v>
          </cell>
          <cell r="C38">
            <v>169087327</v>
          </cell>
          <cell r="D38">
            <v>169087327</v>
          </cell>
          <cell r="E38"/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/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  <cell r="E40"/>
        </row>
        <row r="41">
          <cell r="B41" t="str">
            <v>Активлар бўйича эҳтимолий йўқотишларга қарши яратилган захираларни қайтарилиши</v>
          </cell>
          <cell r="C41">
            <v>2557814</v>
          </cell>
          <cell r="D41">
            <v>2557814</v>
          </cell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91428650</v>
          </cell>
          <cell r="D42">
            <v>91428650</v>
          </cell>
          <cell r="E42"/>
        </row>
        <row r="43">
          <cell r="B43" t="str">
            <v>Бошқа фоизсиз даромадлар</v>
          </cell>
          <cell r="C43">
            <v>0</v>
          </cell>
          <cell r="D43"/>
          <cell r="E43"/>
        </row>
        <row r="44">
          <cell r="B44" t="str">
            <v>Жами фоизсиз даромадлар</v>
          </cell>
          <cell r="C44">
            <v>496685461</v>
          </cell>
          <cell r="D44">
            <v>496685461</v>
          </cell>
          <cell r="E44">
            <v>0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108882577</v>
          </cell>
          <cell r="D47">
            <v>108882577</v>
          </cell>
          <cell r="E47"/>
        </row>
        <row r="48">
          <cell r="B48" t="str">
            <v>Хорижий валютада кўрилган зарарлар</v>
          </cell>
          <cell r="C48">
            <v>70688405</v>
          </cell>
          <cell r="D48">
            <v>70688405</v>
          </cell>
          <cell r="E48"/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/>
        </row>
        <row r="51">
          <cell r="B51" t="str">
            <v>Бошқа фоизсиз харажатлар</v>
          </cell>
          <cell r="C51">
            <v>17673924</v>
          </cell>
          <cell r="D51">
            <v>17673924</v>
          </cell>
          <cell r="E51"/>
        </row>
        <row r="52">
          <cell r="B52" t="str">
            <v>Жами фоизсиз харажатлар</v>
          </cell>
          <cell r="C52">
            <v>197244906</v>
          </cell>
          <cell r="D52">
            <v>197244906</v>
          </cell>
          <cell r="E52">
            <v>0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870754288</v>
          </cell>
          <cell r="D54">
            <v>870754288</v>
          </cell>
          <cell r="E54">
            <v>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106813502</v>
          </cell>
          <cell r="D57">
            <v>106813502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3586115</v>
          </cell>
          <cell r="D58">
            <v>3586115</v>
          </cell>
          <cell r="E58"/>
        </row>
        <row r="59">
          <cell r="B59" t="str">
            <v>Ижара ва таъминот харажатлари</v>
          </cell>
          <cell r="C59">
            <v>20358489</v>
          </cell>
          <cell r="D59">
            <v>20358489</v>
          </cell>
          <cell r="E59"/>
        </row>
        <row r="60">
          <cell r="B60" t="str">
            <v>Хизмат сафари ва транспорт харажатлари</v>
          </cell>
          <cell r="C60">
            <v>1887245</v>
          </cell>
          <cell r="D60">
            <v>1887245</v>
          </cell>
          <cell r="E60"/>
        </row>
        <row r="61">
          <cell r="B61" t="str">
            <v>Маъмурий харажатлар</v>
          </cell>
          <cell r="C61">
            <v>25496652</v>
          </cell>
          <cell r="D61">
            <v>25496652</v>
          </cell>
          <cell r="E61"/>
        </row>
        <row r="62">
          <cell r="B62" t="str">
            <v>Репрезентация ва хайрия</v>
          </cell>
          <cell r="C62">
            <v>11634319</v>
          </cell>
          <cell r="D62">
            <v>11634319</v>
          </cell>
          <cell r="E62"/>
        </row>
        <row r="63">
          <cell r="B63" t="str">
            <v>Эскириш харажатлари</v>
          </cell>
          <cell r="C63">
            <v>21395147</v>
          </cell>
          <cell r="D63">
            <v>21395147</v>
          </cell>
          <cell r="E63"/>
        </row>
        <row r="64">
          <cell r="B64" t="str">
            <v>Суғурта харажатлари</v>
          </cell>
          <cell r="C64">
            <v>24664</v>
          </cell>
          <cell r="D64">
            <v>24664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4664612</v>
          </cell>
          <cell r="D65">
            <v>4664612</v>
          </cell>
          <cell r="E65"/>
        </row>
        <row r="66">
          <cell r="B66" t="str">
            <v>Жарима ва пенялар</v>
          </cell>
          <cell r="C66">
            <v>0</v>
          </cell>
          <cell r="D66">
            <v>0</v>
          </cell>
          <cell r="E66"/>
        </row>
        <row r="67">
          <cell r="B67" t="str">
            <v>Бошқа операцион харажатлар</v>
          </cell>
          <cell r="C67">
            <v>15006934</v>
          </cell>
          <cell r="D67">
            <v>15006934</v>
          </cell>
          <cell r="E67"/>
        </row>
        <row r="68">
          <cell r="B68" t="str">
            <v>Жами операцион харажатлар</v>
          </cell>
          <cell r="C68">
            <v>207281564</v>
          </cell>
          <cell r="D68">
            <v>207281564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663472724</v>
          </cell>
          <cell r="D70">
            <v>663472724</v>
          </cell>
          <cell r="E70">
            <v>0</v>
          </cell>
        </row>
        <row r="71">
          <cell r="B71" t="str">
            <v>Фойда солиғини баҳолаш</v>
          </cell>
          <cell r="C71">
            <v>139930161</v>
          </cell>
          <cell r="D71">
            <v>139930161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523542563</v>
          </cell>
          <cell r="D73">
            <v>523542563</v>
          </cell>
          <cell r="E73">
            <v>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523542563</v>
          </cell>
          <cell r="D77">
            <v>523542563</v>
          </cell>
          <cell r="E77">
            <v>0</v>
          </cell>
        </row>
        <row r="79">
          <cell r="B79" t="str">
            <v>Бошқарув Раис имзоси:</v>
          </cell>
          <cell r="C79"/>
          <cell r="D79"/>
          <cell r="E79"/>
        </row>
        <row r="80">
          <cell r="B80"/>
          <cell r="C80"/>
          <cell r="D80"/>
          <cell r="E80"/>
        </row>
        <row r="81">
          <cell r="B81" t="str">
            <v>Бош бухгалтер имзоси:</v>
          </cell>
          <cell r="C81"/>
          <cell r="D81"/>
          <cell r="E81"/>
        </row>
      </sheetData>
      <sheetData sheetId="2">
        <row r="7">
          <cell r="C7">
            <v>4206551418</v>
          </cell>
        </row>
        <row r="9">
          <cell r="C9">
            <v>474425010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0.22446148209415867</v>
          </cell>
        </row>
        <row r="9">
          <cell r="I9">
            <v>0.18217319555115444</v>
          </cell>
        </row>
        <row r="11">
          <cell r="I11">
            <v>0.182143389749366</v>
          </cell>
        </row>
        <row r="13">
          <cell r="I13">
            <v>0.14772761919686486</v>
          </cell>
        </row>
        <row r="16">
          <cell r="I16">
            <v>0.25331078863920925</v>
          </cell>
        </row>
        <row r="18">
          <cell r="I18">
            <v>1.9677552585375633</v>
          </cell>
        </row>
        <row r="21">
          <cell r="I21">
            <v>1.1104088854188168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64868895</v>
          </cell>
          <cell r="D5">
            <v>46899238</v>
          </cell>
          <cell r="E5">
            <v>17969657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97034970</v>
          </cell>
          <cell r="D6">
            <v>97034970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8763532</v>
          </cell>
          <cell r="D7">
            <v>2413662</v>
          </cell>
          <cell r="E7">
            <v>6349870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8763532</v>
          </cell>
          <cell r="D8">
            <v>2413662</v>
          </cell>
          <cell r="E8">
            <v>6349870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24651175</v>
          </cell>
          <cell r="D10">
            <v>24651175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25000000</v>
          </cell>
          <cell r="D11">
            <v>25000000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-348825</v>
          </cell>
          <cell r="D12">
            <v>-348825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2000000</v>
          </cell>
          <cell r="D17">
            <v>2000000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2000000</v>
          </cell>
          <cell r="D18">
            <v>2000000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335820765</v>
          </cell>
          <cell r="D24">
            <v>316515454</v>
          </cell>
          <cell r="E24">
            <v>19305311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337448765</v>
          </cell>
          <cell r="D25">
            <v>318143454</v>
          </cell>
          <cell r="E25">
            <v>19305311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1628000</v>
          </cell>
          <cell r="D26">
            <v>1628000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12035652</v>
          </cell>
          <cell r="D30">
            <v>12035652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12724495</v>
          </cell>
          <cell r="D31">
            <v>12302892</v>
          </cell>
          <cell r="E31">
            <v>421603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12400504</v>
          </cell>
          <cell r="D32">
            <v>11984125</v>
          </cell>
          <cell r="E32">
            <v>416379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415807</v>
          </cell>
          <cell r="D33">
            <v>410583</v>
          </cell>
          <cell r="E33">
            <v>5224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91816</v>
          </cell>
          <cell r="D34">
            <v>91816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138079</v>
          </cell>
          <cell r="D35">
            <v>138079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138079</v>
          </cell>
          <cell r="D37">
            <v>138079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>
            <v>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1240291</v>
          </cell>
          <cell r="D39">
            <v>1240291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1137147</v>
          </cell>
          <cell r="D40">
            <v>1137147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71435</v>
          </cell>
          <cell r="D41">
            <v>71435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31709</v>
          </cell>
          <cell r="D42">
            <v>31709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21744348</v>
          </cell>
          <cell r="D43">
            <v>15941320</v>
          </cell>
          <cell r="E43">
            <v>5803028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21760678</v>
          </cell>
          <cell r="D44">
            <v>15957650</v>
          </cell>
          <cell r="E44">
            <v>5803028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16330</v>
          </cell>
          <cell r="D45">
            <v>16330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578541620</v>
          </cell>
          <cell r="D47">
            <v>528692151</v>
          </cell>
          <cell r="E47">
            <v>49849469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106330988</v>
          </cell>
          <cell r="D50">
            <v>86041992</v>
          </cell>
          <cell r="E50">
            <v>20288996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124523194</v>
          </cell>
          <cell r="D51">
            <v>123637405</v>
          </cell>
          <cell r="E51">
            <v>885789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2825217</v>
          </cell>
          <cell r="D52">
            <v>2825217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128537608</v>
          </cell>
          <cell r="D53">
            <v>90858327</v>
          </cell>
          <cell r="E53">
            <v>37679281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26171585</v>
          </cell>
          <cell r="D54">
            <v>26171585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437142</v>
          </cell>
          <cell r="D58">
            <v>424676</v>
          </cell>
          <cell r="E58">
            <v>12466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774694</v>
          </cell>
          <cell r="D59">
            <v>774694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5413</v>
          </cell>
          <cell r="D60">
            <v>5413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2960074</v>
          </cell>
          <cell r="D62">
            <v>2843820</v>
          </cell>
          <cell r="E62">
            <v>116254</v>
          </cell>
        </row>
        <row r="63">
          <cell r="A63" t="str">
            <v>29</v>
          </cell>
          <cell r="B63" t="str">
            <v>Жами мажбуриятлар</v>
          </cell>
          <cell r="C63">
            <v>392565915</v>
          </cell>
          <cell r="D63">
            <v>333583129</v>
          </cell>
          <cell r="E63">
            <v>58982786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100000000</v>
          </cell>
          <cell r="D67">
            <v>100000000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100000000</v>
          </cell>
          <cell r="D68">
            <v>100000000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26278818</v>
          </cell>
          <cell r="D71">
            <v>26278818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26178166</v>
          </cell>
          <cell r="D72">
            <v>26178166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100652</v>
          </cell>
          <cell r="D74">
            <v>100652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59696887</v>
          </cell>
          <cell r="D75">
            <v>59696887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11185870</v>
          </cell>
          <cell r="D76">
            <v>11185870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185975705</v>
          </cell>
          <cell r="D77">
            <v>185975705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578541620</v>
          </cell>
          <cell r="D78">
            <v>519558834</v>
          </cell>
          <cell r="E78">
            <v>58982786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5">
          <cell r="B5" t="str">
            <v>ФОИЗЛИ ДАРОМАДЛАР</v>
          </cell>
          <cell r="C5"/>
          <cell r="D5"/>
          <cell r="E5"/>
        </row>
        <row r="6">
          <cell r="B6" t="str">
            <v>Марказий банкдаги ҳисобварақлар бўйича фоизли даромадлар</v>
          </cell>
          <cell r="C6">
            <v>3440657</v>
          </cell>
          <cell r="D6">
            <v>3440657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  <cell r="D7"/>
          <cell r="E7"/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176055</v>
          </cell>
          <cell r="D8">
            <v>176055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1908076</v>
          </cell>
          <cell r="D9">
            <v>1908076</v>
          </cell>
          <cell r="E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39773002</v>
          </cell>
          <cell r="D12">
            <v>38133528</v>
          </cell>
          <cell r="E12">
            <v>1639474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/>
          <cell r="E13"/>
        </row>
        <row r="14">
          <cell r="B14" t="str">
            <v>Бошқа фоизли даромадлар</v>
          </cell>
          <cell r="C14">
            <v>0</v>
          </cell>
          <cell r="D14"/>
          <cell r="E14"/>
        </row>
        <row r="15">
          <cell r="B15" t="str">
            <v>Жами фоизли даромадлар</v>
          </cell>
          <cell r="C15">
            <v>45297790</v>
          </cell>
          <cell r="D15">
            <v>43658316</v>
          </cell>
          <cell r="E15">
            <v>1639474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  <cell r="D18"/>
          <cell r="E18"/>
        </row>
        <row r="19">
          <cell r="B19" t="str">
            <v>Муддатли депозитлар бўйича фоизли харажатлар</v>
          </cell>
          <cell r="C19">
            <v>10327832</v>
          </cell>
          <cell r="D19">
            <v>10106716</v>
          </cell>
          <cell r="E19">
            <v>221116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8217938</v>
          </cell>
          <cell r="D21">
            <v>5923164</v>
          </cell>
          <cell r="E21">
            <v>2294774</v>
          </cell>
        </row>
        <row r="22">
          <cell r="B22" t="str">
            <v>Жами депозитлар бўйича фоизли харажатлар</v>
          </cell>
          <cell r="C22">
            <v>18545770</v>
          </cell>
          <cell r="D22">
            <v>16029880</v>
          </cell>
          <cell r="E22">
            <v>2515890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  <cell r="E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461931</v>
          </cell>
          <cell r="D24">
            <v>461931</v>
          </cell>
          <cell r="E24">
            <v>0</v>
          </cell>
        </row>
        <row r="25">
          <cell r="B25" t="str">
            <v>Бошқа фоизли харажатлар</v>
          </cell>
          <cell r="C25">
            <v>0</v>
          </cell>
          <cell r="D25"/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461931</v>
          </cell>
          <cell r="D26">
            <v>461931</v>
          </cell>
          <cell r="E26">
            <v>0</v>
          </cell>
        </row>
        <row r="27">
          <cell r="B27" t="str">
            <v>Жами фоизли харажатлар</v>
          </cell>
          <cell r="C27">
            <v>19007701</v>
          </cell>
          <cell r="D27">
            <v>16491811</v>
          </cell>
          <cell r="E27">
            <v>2515890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26290089</v>
          </cell>
          <cell r="D29">
            <v>27166505</v>
          </cell>
          <cell r="E29">
            <v>-876416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1592213</v>
          </cell>
          <cell r="D30">
            <v>1592213</v>
          </cell>
          <cell r="E30">
            <v>0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144609</v>
          </cell>
          <cell r="D33">
            <v>144609</v>
          </cell>
          <cell r="E33">
            <v>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24553267</v>
          </cell>
          <cell r="D34">
            <v>25429683</v>
          </cell>
          <cell r="E34">
            <v>-876416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16656768</v>
          </cell>
          <cell r="D37">
            <v>16503430</v>
          </cell>
          <cell r="E37">
            <v>153338</v>
          </cell>
        </row>
        <row r="38">
          <cell r="B38" t="str">
            <v>Хорижий валюталардаги фойда</v>
          </cell>
          <cell r="C38">
            <v>17128558</v>
          </cell>
          <cell r="D38">
            <v>-35699</v>
          </cell>
          <cell r="E38">
            <v>17164257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>
            <v>0</v>
          </cell>
          <cell r="E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161000</v>
          </cell>
          <cell r="D42">
            <v>161000</v>
          </cell>
          <cell r="E42">
            <v>0</v>
          </cell>
        </row>
        <row r="43">
          <cell r="B43" t="str">
            <v>Бошқа фоизсиз даромадлар</v>
          </cell>
          <cell r="C43">
            <v>275544</v>
          </cell>
          <cell r="D43">
            <v>275544</v>
          </cell>
          <cell r="E43">
            <v>0</v>
          </cell>
        </row>
        <row r="44">
          <cell r="B44" t="str">
            <v>Жами фоизсиз даромадлар</v>
          </cell>
          <cell r="C44">
            <v>34221870</v>
          </cell>
          <cell r="D44">
            <v>16904275</v>
          </cell>
          <cell r="E44">
            <v>17317595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8309763</v>
          </cell>
          <cell r="D47">
            <v>7320544</v>
          </cell>
          <cell r="E47">
            <v>989219</v>
          </cell>
        </row>
        <row r="48">
          <cell r="B48" t="str">
            <v>Хорижий валютада кўрилган зарарлар</v>
          </cell>
          <cell r="C48">
            <v>4965225</v>
          </cell>
          <cell r="D48">
            <v>0</v>
          </cell>
          <cell r="E48">
            <v>4965225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4431687</v>
          </cell>
          <cell r="D51">
            <v>4431687</v>
          </cell>
          <cell r="E51">
            <v>0</v>
          </cell>
        </row>
        <row r="52">
          <cell r="B52" t="str">
            <v>Жами фоизсиз харажатлар</v>
          </cell>
          <cell r="C52">
            <v>17706675</v>
          </cell>
          <cell r="D52">
            <v>11752231</v>
          </cell>
          <cell r="E52">
            <v>5954444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41068462</v>
          </cell>
          <cell r="D54">
            <v>30581727</v>
          </cell>
          <cell r="E54">
            <v>10486735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21585085</v>
          </cell>
          <cell r="D57">
            <v>21585085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3923923</v>
          </cell>
          <cell r="D58">
            <v>3923923</v>
          </cell>
          <cell r="E58"/>
        </row>
        <row r="59">
          <cell r="B59" t="str">
            <v>Ижара ва таъминот харажатлари</v>
          </cell>
          <cell r="C59">
            <v>3023478</v>
          </cell>
          <cell r="D59">
            <v>3023478</v>
          </cell>
          <cell r="E59"/>
        </row>
        <row r="60">
          <cell r="B60" t="str">
            <v>Хизмат сафари ва транспорт харажатлари</v>
          </cell>
          <cell r="C60">
            <v>350243</v>
          </cell>
          <cell r="D60">
            <v>320918</v>
          </cell>
          <cell r="E60"/>
        </row>
        <row r="61">
          <cell r="B61" t="str">
            <v>Маъмурий харажатлар</v>
          </cell>
          <cell r="C61">
            <v>1084144</v>
          </cell>
          <cell r="D61">
            <v>1084144</v>
          </cell>
          <cell r="E61"/>
        </row>
        <row r="62">
          <cell r="B62" t="str">
            <v>Репрезентация ва хайрия</v>
          </cell>
          <cell r="C62">
            <v>185149</v>
          </cell>
          <cell r="D62">
            <v>185149</v>
          </cell>
          <cell r="E62"/>
        </row>
        <row r="63">
          <cell r="B63" t="str">
            <v>Эскириш харажатлари</v>
          </cell>
          <cell r="C63">
            <v>1206978</v>
          </cell>
          <cell r="D63">
            <v>1206978</v>
          </cell>
          <cell r="E63"/>
        </row>
        <row r="64">
          <cell r="B64" t="str">
            <v>Суғурта харажатлари</v>
          </cell>
          <cell r="C64">
            <v>1344</v>
          </cell>
          <cell r="D64">
            <v>1344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155025</v>
          </cell>
          <cell r="D65">
            <v>155025</v>
          </cell>
          <cell r="E65"/>
        </row>
        <row r="66">
          <cell r="B66" t="str">
            <v>Жарима ва пенялар</v>
          </cell>
          <cell r="C66">
            <v>0</v>
          </cell>
          <cell r="D66">
            <v>0</v>
          </cell>
          <cell r="E66"/>
        </row>
        <row r="67">
          <cell r="B67" t="str">
            <v>Бошқа операцион харажатлар</v>
          </cell>
          <cell r="C67">
            <v>390941</v>
          </cell>
          <cell r="D67">
            <v>390941</v>
          </cell>
          <cell r="E67"/>
        </row>
        <row r="68">
          <cell r="B68" t="str">
            <v>Жами операцион харажатлар</v>
          </cell>
          <cell r="C68">
            <v>27982387</v>
          </cell>
          <cell r="D68">
            <v>27953062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13086075</v>
          </cell>
          <cell r="D70">
            <v>2628665</v>
          </cell>
          <cell r="E70">
            <v>10457410</v>
          </cell>
        </row>
        <row r="71">
          <cell r="B71" t="str">
            <v>Фойда солиғини баҳолаш</v>
          </cell>
          <cell r="C71">
            <v>1900205</v>
          </cell>
          <cell r="D71">
            <v>1900205</v>
          </cell>
          <cell r="E71">
            <v>0</v>
          </cell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11185870</v>
          </cell>
          <cell r="D73">
            <v>728460</v>
          </cell>
          <cell r="E73">
            <v>10457410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11185870</v>
          </cell>
          <cell r="D77">
            <v>728460</v>
          </cell>
          <cell r="E77">
            <v>10457410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5034970</v>
          </cell>
        </row>
        <row r="9">
          <cell r="C9">
            <v>8763532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0.24363548056656098</v>
          </cell>
        </row>
        <row r="9">
          <cell r="I9">
            <v>0.22740082265580283</v>
          </cell>
        </row>
        <row r="11">
          <cell r="I11">
            <v>0.22740082265580283</v>
          </cell>
        </row>
        <row r="13">
          <cell r="I13">
            <v>0.26001447494208857</v>
          </cell>
        </row>
        <row r="16">
          <cell r="I16">
            <v>0.28852477669249382</v>
          </cell>
        </row>
        <row r="18">
          <cell r="I18">
            <v>6.2326774638070876</v>
          </cell>
        </row>
        <row r="21">
          <cell r="I21">
            <v>1.4232922275128903</v>
          </cell>
        </row>
      </sheetData>
      <sheetData sheetId="5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885532407</v>
          </cell>
          <cell r="D5">
            <v>353505176</v>
          </cell>
          <cell r="E5">
            <v>532027231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734601279</v>
          </cell>
          <cell r="D6">
            <v>709293019</v>
          </cell>
          <cell r="E6">
            <v>25308260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5340510484</v>
          </cell>
          <cell r="D7">
            <v>2576596597</v>
          </cell>
          <cell r="E7">
            <v>2763913887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5340510484</v>
          </cell>
          <cell r="D8">
            <v>2576596597</v>
          </cell>
          <cell r="E8">
            <v>2763913887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2036035477</v>
          </cell>
          <cell r="D10">
            <v>2011810737</v>
          </cell>
          <cell r="E10">
            <v>24224740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2099148260</v>
          </cell>
          <cell r="D11">
            <v>2073840000</v>
          </cell>
          <cell r="E11">
            <v>25308260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-63112783</v>
          </cell>
          <cell r="D12">
            <v>-62029263</v>
          </cell>
          <cell r="E12">
            <v>-1083520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16638</v>
          </cell>
          <cell r="D14">
            <v>188</v>
          </cell>
          <cell r="E14">
            <v>16450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16638</v>
          </cell>
          <cell r="D15">
            <v>188</v>
          </cell>
          <cell r="E15">
            <v>16450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844711198</v>
          </cell>
          <cell r="D17">
            <v>844711198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844726308</v>
          </cell>
          <cell r="D18">
            <v>844726308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15110</v>
          </cell>
          <cell r="D20">
            <v>15110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/>
          <cell r="E22"/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22578906488</v>
          </cell>
          <cell r="D24">
            <v>17713399869</v>
          </cell>
          <cell r="E24">
            <v>4865506619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23447298066</v>
          </cell>
          <cell r="D25">
            <v>18230299925</v>
          </cell>
          <cell r="E25">
            <v>5216998141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868391578</v>
          </cell>
          <cell r="D26">
            <v>516900056</v>
          </cell>
          <cell r="E26">
            <v>351491522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86978721</v>
          </cell>
          <cell r="D27">
            <v>0</v>
          </cell>
          <cell r="E27">
            <v>86978721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98692187</v>
          </cell>
          <cell r="D28">
            <v>0</v>
          </cell>
          <cell r="E28">
            <v>98692187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11713466</v>
          </cell>
          <cell r="D29">
            <v>0</v>
          </cell>
          <cell r="E29">
            <v>11713466</v>
          </cell>
        </row>
        <row r="30">
          <cell r="A30">
            <v>10</v>
          </cell>
          <cell r="B30" t="str">
            <v>Асосий воситалар, соф</v>
          </cell>
          <cell r="C30">
            <v>808624213</v>
          </cell>
          <cell r="D30">
            <v>808624213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1092379777</v>
          </cell>
          <cell r="D31">
            <v>789028416</v>
          </cell>
          <cell r="E31">
            <v>303351361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853334017</v>
          </cell>
          <cell r="D32">
            <v>573813656</v>
          </cell>
          <cell r="E32">
            <v>279520361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240481368</v>
          </cell>
          <cell r="D33">
            <v>216638609</v>
          </cell>
          <cell r="E33">
            <v>23842759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1435608</v>
          </cell>
          <cell r="D34">
            <v>1423849</v>
          </cell>
          <cell r="E34">
            <v>11759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316877355</v>
          </cell>
          <cell r="D35">
            <v>316877355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259441180</v>
          </cell>
          <cell r="D36">
            <v>259441180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68772784</v>
          </cell>
          <cell r="D37">
            <v>68772784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11336609</v>
          </cell>
          <cell r="D38">
            <v>11336609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238914736</v>
          </cell>
          <cell r="D39">
            <v>238914736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197792049</v>
          </cell>
          <cell r="D40">
            <v>197792049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39272377</v>
          </cell>
          <cell r="D41">
            <v>39272377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1850310</v>
          </cell>
          <cell r="D42">
            <v>1850310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1168194871</v>
          </cell>
          <cell r="D43">
            <v>1083462628</v>
          </cell>
          <cell r="E43">
            <v>84732243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1182806847</v>
          </cell>
          <cell r="D44">
            <v>1098074604</v>
          </cell>
          <cell r="E44">
            <v>84732243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14611976</v>
          </cell>
          <cell r="D45">
            <v>14611976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35654454172</v>
          </cell>
          <cell r="D47">
            <v>26968394660</v>
          </cell>
          <cell r="E47">
            <v>8686059512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1605002234</v>
          </cell>
          <cell r="D50">
            <v>1505370155</v>
          </cell>
          <cell r="E50">
            <v>99632079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12012846807</v>
          </cell>
          <cell r="D51">
            <v>10640499411</v>
          </cell>
          <cell r="E51">
            <v>1372347396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376348</v>
          </cell>
          <cell r="D52">
            <v>376348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1832507204</v>
          </cell>
          <cell r="D53">
            <v>759416003</v>
          </cell>
          <cell r="E53">
            <v>1073091201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442851934.99999994</v>
          </cell>
          <cell r="D54">
            <v>0</v>
          </cell>
          <cell r="E54">
            <v>442851934.99999994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12277309416</v>
          </cell>
          <cell r="D55">
            <v>6879666032</v>
          </cell>
          <cell r="E55">
            <v>5397643384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1806738467</v>
          </cell>
          <cell r="D57">
            <v>1806738467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323658118</v>
          </cell>
          <cell r="D58">
            <v>245287377</v>
          </cell>
          <cell r="E58">
            <v>78370741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18301181</v>
          </cell>
          <cell r="D59">
            <v>18301181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823911</v>
          </cell>
          <cell r="D60">
            <v>823911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/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247699097</v>
          </cell>
          <cell r="D62">
            <v>123220965</v>
          </cell>
          <cell r="E62">
            <v>124478132</v>
          </cell>
        </row>
        <row r="63">
          <cell r="A63" t="str">
            <v>29</v>
          </cell>
          <cell r="B63" t="str">
            <v>Жами мажбуриятлар</v>
          </cell>
          <cell r="C63">
            <v>30568114718</v>
          </cell>
          <cell r="D63">
            <v>21979699850</v>
          </cell>
          <cell r="E63">
            <v>8588414868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5689083510</v>
          </cell>
          <cell r="D67">
            <v>5689083510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5688010260</v>
          </cell>
          <cell r="D68">
            <v>5688010260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1073250</v>
          </cell>
          <cell r="D69">
            <v>1073250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941882</v>
          </cell>
          <cell r="D70">
            <v>941882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1121531639</v>
          </cell>
          <cell r="D71">
            <v>1121531639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1119614606</v>
          </cell>
          <cell r="D72">
            <v>1119614606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1917033</v>
          </cell>
          <cell r="D74">
            <v>1917033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-1725217577</v>
          </cell>
          <cell r="D75">
            <v>-1725217577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319666970</v>
          </cell>
          <cell r="D76">
            <v>319666970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5086339454</v>
          </cell>
          <cell r="D77">
            <v>5086339454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35654454172</v>
          </cell>
          <cell r="D78">
            <v>27066039304</v>
          </cell>
          <cell r="E78">
            <v>8588414868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7743726</v>
          </cell>
          <cell r="D6">
            <v>7743726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262694718</v>
          </cell>
          <cell r="D7">
            <v>176041276</v>
          </cell>
          <cell r="E7">
            <v>86653442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7886494</v>
          </cell>
          <cell r="D8">
            <v>7886494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144594166</v>
          </cell>
          <cell r="D9">
            <v>143747748</v>
          </cell>
          <cell r="E9">
            <v>846418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1748469647</v>
          </cell>
          <cell r="D12">
            <v>1499205690</v>
          </cell>
          <cell r="E12">
            <v>249263957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2779101</v>
          </cell>
          <cell r="D13">
            <v>2779101</v>
          </cell>
          <cell r="E13">
            <v>0</v>
          </cell>
        </row>
        <row r="14">
          <cell r="B14" t="str">
            <v>Бошқа фоизли даромадлар</v>
          </cell>
          <cell r="C14">
            <v>1046553970</v>
          </cell>
          <cell r="D14">
            <v>956364512</v>
          </cell>
          <cell r="E14">
            <v>90189458</v>
          </cell>
        </row>
        <row r="15">
          <cell r="B15" t="str">
            <v>Жами фоизли даромадлар</v>
          </cell>
          <cell r="C15">
            <v>3220721822</v>
          </cell>
          <cell r="D15">
            <v>2793768547</v>
          </cell>
          <cell r="E15">
            <v>426953275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38427658</v>
          </cell>
          <cell r="D18">
            <v>38427658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760491779</v>
          </cell>
          <cell r="D19">
            <v>714861732</v>
          </cell>
          <cell r="E19">
            <v>45630047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137016168</v>
          </cell>
          <cell r="D21">
            <v>78940916</v>
          </cell>
          <cell r="E21">
            <v>58075252</v>
          </cell>
        </row>
        <row r="22">
          <cell r="B22" t="str">
            <v>Жами депозитлар бўйича фоизли харажатлар</v>
          </cell>
          <cell r="C22">
            <v>935935605</v>
          </cell>
          <cell r="D22">
            <v>832230306</v>
          </cell>
          <cell r="E22">
            <v>103705299</v>
          </cell>
        </row>
        <row r="23">
          <cell r="B23" t="str">
            <v>Кредитлар бўйича фоизли харажатлар</v>
          </cell>
          <cell r="C23">
            <v>491715727</v>
          </cell>
          <cell r="D23">
            <v>306325982</v>
          </cell>
          <cell r="E23">
            <v>185389745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5618992</v>
          </cell>
          <cell r="D24">
            <v>73309</v>
          </cell>
          <cell r="E24">
            <v>5545683</v>
          </cell>
        </row>
        <row r="25">
          <cell r="B25" t="str">
            <v>Бошқа фоизли харажатлар</v>
          </cell>
          <cell r="C25">
            <v>1148757846</v>
          </cell>
          <cell r="D25">
            <v>1059394669</v>
          </cell>
          <cell r="E25">
            <v>89363177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1646092565</v>
          </cell>
          <cell r="D26">
            <v>1365793960</v>
          </cell>
          <cell r="E26">
            <v>280298605</v>
          </cell>
        </row>
        <row r="27">
          <cell r="B27" t="str">
            <v>Жами фоизли харажатлар</v>
          </cell>
          <cell r="C27">
            <v>2582028170</v>
          </cell>
          <cell r="D27">
            <v>2198024266</v>
          </cell>
          <cell r="E27">
            <v>384003904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638693652</v>
          </cell>
          <cell r="D29">
            <v>595744281</v>
          </cell>
          <cell r="E29">
            <v>42949371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504805735</v>
          </cell>
          <cell r="D30">
            <v>504805735</v>
          </cell>
          <cell r="E30"/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/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/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130566335</v>
          </cell>
          <cell r="D33">
            <v>130566335</v>
          </cell>
          <cell r="E33"/>
        </row>
        <row r="34">
          <cell r="B34" t="str">
            <v>Активлар бўйича эҳтимолий зарарларни баҳолашдан кейинги соф даромад</v>
          </cell>
          <cell r="C34">
            <v>3321582</v>
          </cell>
          <cell r="D34">
            <v>-39627789</v>
          </cell>
          <cell r="E34">
            <v>42949371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156461670</v>
          </cell>
          <cell r="D37">
            <v>135391530</v>
          </cell>
          <cell r="E37">
            <v>21070140</v>
          </cell>
        </row>
        <row r="38">
          <cell r="B38" t="str">
            <v>Хорижий валюталардаги фойда</v>
          </cell>
          <cell r="C38">
            <v>394612900</v>
          </cell>
          <cell r="D38">
            <v>7885133</v>
          </cell>
          <cell r="E38">
            <v>386727767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/>
          <cell r="E39"/>
        </row>
        <row r="40">
          <cell r="B40" t="str">
            <v>Инвестициядан олинган фойда ва дивидендлар</v>
          </cell>
          <cell r="C40">
            <v>1404027</v>
          </cell>
          <cell r="D40">
            <v>1404027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/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  <cell r="E42"/>
        </row>
        <row r="43">
          <cell r="B43" t="str">
            <v>Бошқа фоизсиз даромадлар</v>
          </cell>
          <cell r="C43">
            <v>769491346</v>
          </cell>
          <cell r="D43">
            <v>373054975</v>
          </cell>
          <cell r="E43">
            <v>396436371</v>
          </cell>
        </row>
        <row r="44">
          <cell r="B44" t="str">
            <v>Жами фоизсиз даромадлар</v>
          </cell>
          <cell r="C44">
            <v>1321969943</v>
          </cell>
          <cell r="D44">
            <v>517735665</v>
          </cell>
          <cell r="E44">
            <v>804234278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84339933</v>
          </cell>
          <cell r="D47">
            <v>73009135</v>
          </cell>
          <cell r="E47">
            <v>11330798</v>
          </cell>
        </row>
        <row r="48">
          <cell r="B48" t="str">
            <v>Хорижий валютада кўрилган зарарлар</v>
          </cell>
          <cell r="C48">
            <v>312819828</v>
          </cell>
          <cell r="D48"/>
          <cell r="E48">
            <v>312819828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/>
          <cell r="E50"/>
        </row>
        <row r="51">
          <cell r="B51" t="str">
            <v>Бошқа фоизсиз харажатлар</v>
          </cell>
          <cell r="C51">
            <v>29714</v>
          </cell>
          <cell r="D51">
            <v>29714</v>
          </cell>
          <cell r="E51">
            <v>0</v>
          </cell>
        </row>
        <row r="52">
          <cell r="B52" t="str">
            <v>Жами фоизсиз харажатлар</v>
          </cell>
          <cell r="C52">
            <v>397189475</v>
          </cell>
          <cell r="D52">
            <v>73038849</v>
          </cell>
          <cell r="E52">
            <v>324150626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928102050</v>
          </cell>
          <cell r="D54">
            <v>405069027</v>
          </cell>
          <cell r="E54">
            <v>523033023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398377206</v>
          </cell>
          <cell r="D57">
            <v>395153680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16837507</v>
          </cell>
          <cell r="D58">
            <v>15671610</v>
          </cell>
          <cell r="E58"/>
        </row>
        <row r="59">
          <cell r="B59" t="str">
            <v>Ижара ва таъминот харажатлари</v>
          </cell>
          <cell r="C59">
            <v>27288083</v>
          </cell>
          <cell r="D59">
            <v>27288084</v>
          </cell>
          <cell r="E59"/>
        </row>
        <row r="60">
          <cell r="B60" t="str">
            <v>Хизмат сафари ва транспорт харажатлари</v>
          </cell>
          <cell r="C60">
            <v>11960321</v>
          </cell>
          <cell r="D60">
            <v>11940902</v>
          </cell>
          <cell r="E60"/>
        </row>
        <row r="61">
          <cell r="B61" t="str">
            <v>Маъмурий харажатлар</v>
          </cell>
          <cell r="C61">
            <v>25007856</v>
          </cell>
          <cell r="D61">
            <v>24901677</v>
          </cell>
          <cell r="E61"/>
        </row>
        <row r="62">
          <cell r="B62" t="str">
            <v>Репрезентация ва хайрия</v>
          </cell>
          <cell r="C62">
            <v>18209597</v>
          </cell>
          <cell r="D62">
            <v>18168379</v>
          </cell>
          <cell r="E62"/>
        </row>
        <row r="63">
          <cell r="B63" t="str">
            <v>Эскириш харажатлари</v>
          </cell>
          <cell r="C63">
            <v>45233102</v>
          </cell>
          <cell r="D63">
            <v>45233102</v>
          </cell>
          <cell r="E63"/>
        </row>
        <row r="64">
          <cell r="B64" t="str">
            <v>Суғурта харажатлари</v>
          </cell>
          <cell r="C64">
            <v>4778071</v>
          </cell>
          <cell r="D64">
            <v>4778071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6389728</v>
          </cell>
          <cell r="D65">
            <v>6389728</v>
          </cell>
          <cell r="E65"/>
        </row>
        <row r="66">
          <cell r="B66" t="str">
            <v>Жарима ва пенялар</v>
          </cell>
          <cell r="C66">
            <v>38274</v>
          </cell>
          <cell r="D66">
            <v>35862</v>
          </cell>
          <cell r="E66"/>
        </row>
        <row r="67">
          <cell r="B67" t="str">
            <v>Бошқа операцион харажатлар</v>
          </cell>
          <cell r="C67">
            <v>29884791</v>
          </cell>
          <cell r="D67">
            <v>26988794</v>
          </cell>
          <cell r="E67"/>
        </row>
        <row r="68">
          <cell r="B68" t="str">
            <v>Жами операцион харажатлар</v>
          </cell>
          <cell r="C68">
            <v>567167029</v>
          </cell>
          <cell r="D68">
            <v>560878279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360935021</v>
          </cell>
          <cell r="D70">
            <v>-155809252</v>
          </cell>
          <cell r="E70">
            <v>516744273</v>
          </cell>
        </row>
        <row r="71">
          <cell r="B71" t="str">
            <v>Фойда солиғини баҳолаш</v>
          </cell>
          <cell r="C71">
            <v>41268051</v>
          </cell>
          <cell r="D71">
            <v>41268051</v>
          </cell>
          <cell r="E71">
            <v>0</v>
          </cell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319666970</v>
          </cell>
          <cell r="D73">
            <v>-197077303</v>
          </cell>
          <cell r="E73">
            <v>516744273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319666970</v>
          </cell>
          <cell r="D77">
            <v>-197077303</v>
          </cell>
          <cell r="E77">
            <v>516744273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534601279</v>
          </cell>
        </row>
        <row r="9">
          <cell r="C9">
            <v>724594068</v>
          </cell>
          <cell r="E9">
            <v>1795657426</v>
          </cell>
          <cell r="G9">
            <v>0</v>
          </cell>
        </row>
      </sheetData>
      <sheetData sheetId="3"/>
      <sheetData sheetId="4">
        <row r="7">
          <cell r="I7">
            <v>0.1913386492644864</v>
          </cell>
        </row>
        <row r="9">
          <cell r="I9">
            <v>0.13993880648714266</v>
          </cell>
        </row>
        <row r="11">
          <cell r="I11">
            <v>0.13987962293199613</v>
          </cell>
        </row>
        <row r="13">
          <cell r="I13">
            <v>0.12463998163396418</v>
          </cell>
        </row>
        <row r="16">
          <cell r="I16">
            <v>0.19226737331972332</v>
          </cell>
        </row>
        <row r="18">
          <cell r="I18">
            <v>2.9778115273222974</v>
          </cell>
        </row>
        <row r="21">
          <cell r="I21">
            <v>1.1151292629536294</v>
          </cell>
        </row>
      </sheetData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286187873</v>
          </cell>
          <cell r="D5">
            <v>31110840</v>
          </cell>
          <cell r="E5">
            <v>255077033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1694186984</v>
          </cell>
          <cell r="D6">
            <v>346522139</v>
          </cell>
          <cell r="E6">
            <v>1347664845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529274696</v>
          </cell>
          <cell r="D7">
            <v>286532782</v>
          </cell>
          <cell r="E7">
            <v>242741914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533802812</v>
          </cell>
          <cell r="D8">
            <v>286532782</v>
          </cell>
          <cell r="E8">
            <v>247270030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4528116</v>
          </cell>
          <cell r="D9">
            <v>0</v>
          </cell>
          <cell r="E9">
            <v>4528116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762502736</v>
          </cell>
          <cell r="D10">
            <v>762502736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780413821</v>
          </cell>
          <cell r="D11">
            <v>780413821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-17911085</v>
          </cell>
          <cell r="D12">
            <v>-17911085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392810699</v>
          </cell>
          <cell r="D24">
            <v>192939652</v>
          </cell>
          <cell r="E24">
            <v>199871047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392942264</v>
          </cell>
          <cell r="D25">
            <v>193071217</v>
          </cell>
          <cell r="E25">
            <v>199871047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131565</v>
          </cell>
          <cell r="D26">
            <v>131565</v>
          </cell>
          <cell r="E26"/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309879126</v>
          </cell>
          <cell r="D30">
            <v>309879126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51001183</v>
          </cell>
          <cell r="D31">
            <v>50100824</v>
          </cell>
          <cell r="E31">
            <v>900359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20689537</v>
          </cell>
          <cell r="D32">
            <v>19789178</v>
          </cell>
          <cell r="E32">
            <v>900359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30311646</v>
          </cell>
          <cell r="D33">
            <v>30311646</v>
          </cell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0</v>
          </cell>
          <cell r="D34"/>
          <cell r="E34"/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15490434</v>
          </cell>
          <cell r="D35">
            <v>15490434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15490434</v>
          </cell>
          <cell r="D37">
            <v>15490434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22760803</v>
          </cell>
          <cell r="D39">
            <v>22760803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3895234</v>
          </cell>
          <cell r="D40">
            <v>3895234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18865444</v>
          </cell>
          <cell r="D41">
            <v>18865444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125</v>
          </cell>
          <cell r="D42">
            <v>125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958821514</v>
          </cell>
          <cell r="D43">
            <v>702596435</v>
          </cell>
          <cell r="E43">
            <v>256225079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958821514</v>
          </cell>
          <cell r="D44">
            <v>702596435</v>
          </cell>
          <cell r="E44">
            <v>256225079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4977394442</v>
          </cell>
          <cell r="D47">
            <v>2674914165</v>
          </cell>
          <cell r="E47">
            <v>2302480277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2506160466</v>
          </cell>
          <cell r="D50">
            <v>1311849400</v>
          </cell>
          <cell r="E50">
            <v>1194311066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663049922</v>
          </cell>
          <cell r="D51">
            <v>258519000</v>
          </cell>
          <cell r="E51">
            <v>404530922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35730</v>
          </cell>
          <cell r="D52">
            <v>35730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250096556</v>
          </cell>
          <cell r="D53">
            <v>41250279</v>
          </cell>
          <cell r="E53">
            <v>208846277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197954618</v>
          </cell>
          <cell r="D54">
            <v>197954618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3553327</v>
          </cell>
          <cell r="D58">
            <v>3212313</v>
          </cell>
          <cell r="E58">
            <v>341014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4709792</v>
          </cell>
          <cell r="D59">
            <v>4709792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61923563</v>
          </cell>
          <cell r="D60">
            <v>0</v>
          </cell>
          <cell r="E60">
            <v>61923563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487480</v>
          </cell>
          <cell r="D61">
            <v>487480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362085680</v>
          </cell>
          <cell r="D62">
            <v>336088953</v>
          </cell>
          <cell r="E62">
            <v>25996727</v>
          </cell>
        </row>
        <row r="63">
          <cell r="A63" t="str">
            <v>29</v>
          </cell>
          <cell r="B63" t="str">
            <v>Жами мажбуриятлар</v>
          </cell>
          <cell r="C63">
            <v>4050057134</v>
          </cell>
          <cell r="D63">
            <v>2154107565</v>
          </cell>
          <cell r="E63">
            <v>1895949569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1232</v>
          </cell>
          <cell r="D70">
            <v>1232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9184810</v>
          </cell>
          <cell r="D71">
            <v>9184810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7684435</v>
          </cell>
          <cell r="D72">
            <v>7684435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1500375</v>
          </cell>
          <cell r="D74">
            <v>1500375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418151266</v>
          </cell>
          <cell r="D75">
            <v>418151266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162302287</v>
          </cell>
          <cell r="D76">
            <v>162302287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927337308</v>
          </cell>
          <cell r="D77">
            <v>927337308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4977394442</v>
          </cell>
          <cell r="D78">
            <v>3081444873</v>
          </cell>
          <cell r="E78">
            <v>1895949569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5">
          <cell r="B5" t="str">
            <v>ФОИЗЛИ ДАРОМАДЛАР</v>
          </cell>
          <cell r="C5"/>
          <cell r="D5"/>
          <cell r="E5"/>
        </row>
        <row r="6">
          <cell r="B6" t="str">
            <v>Марказий банкдаги ҳисобварақлар бўйича фоизли даромадлар</v>
          </cell>
          <cell r="C6">
            <v>2236164</v>
          </cell>
          <cell r="D6">
            <v>2236164</v>
          </cell>
          <cell r="E6"/>
        </row>
        <row r="7">
          <cell r="B7" t="str">
            <v>Бошқа банклардаги ҳисобварақлар бўйича фоизли даромадлар</v>
          </cell>
          <cell r="C7">
            <v>8465140</v>
          </cell>
          <cell r="D7">
            <v>2866439</v>
          </cell>
          <cell r="E7">
            <v>5598701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/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68383990</v>
          </cell>
          <cell r="D9">
            <v>68383990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19150949</v>
          </cell>
          <cell r="D12">
            <v>11703072</v>
          </cell>
          <cell r="E12">
            <v>7447877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1333608</v>
          </cell>
          <cell r="D13">
            <v>1333608</v>
          </cell>
          <cell r="E13"/>
        </row>
        <row r="14">
          <cell r="B14" t="str">
            <v>Бошқа фоизли даромадлар</v>
          </cell>
          <cell r="C14">
            <v>725289</v>
          </cell>
          <cell r="D14">
            <v>725289</v>
          </cell>
          <cell r="E14">
            <v>0</v>
          </cell>
        </row>
        <row r="15">
          <cell r="B15" t="str">
            <v>Жами фоизли даромадлар</v>
          </cell>
          <cell r="C15">
            <v>100295140</v>
          </cell>
          <cell r="D15">
            <v>87248562</v>
          </cell>
          <cell r="E15">
            <v>13046578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20029344</v>
          </cell>
          <cell r="D18">
            <v>20029344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21765071</v>
          </cell>
          <cell r="D19">
            <v>11157026</v>
          </cell>
          <cell r="E19">
            <v>10608045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/>
        </row>
        <row r="21">
          <cell r="B21" t="str">
            <v>Бошқа банкларнинг ҳисобварақлари бўйича фоизли харажатлар</v>
          </cell>
          <cell r="C21">
            <v>46408124</v>
          </cell>
          <cell r="D21">
            <v>2445753</v>
          </cell>
          <cell r="E21">
            <v>43962371</v>
          </cell>
        </row>
        <row r="22">
          <cell r="B22" t="str">
            <v>Жами депозитлар бўйича фоизли харажатлар</v>
          </cell>
          <cell r="C22">
            <v>88202539</v>
          </cell>
          <cell r="D22">
            <v>33632123</v>
          </cell>
          <cell r="E22">
            <v>54570416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  <cell r="E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4322119</v>
          </cell>
          <cell r="D24">
            <v>4322119</v>
          </cell>
          <cell r="E24"/>
        </row>
        <row r="25">
          <cell r="B25" t="str">
            <v>Бошқа фоизли харажатлар</v>
          </cell>
          <cell r="C25">
            <v>0</v>
          </cell>
          <cell r="D25"/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4322119</v>
          </cell>
          <cell r="D26">
            <v>4322119</v>
          </cell>
          <cell r="E26">
            <v>0</v>
          </cell>
        </row>
        <row r="27">
          <cell r="B27" t="str">
            <v>Жами фоизли харажатлар</v>
          </cell>
          <cell r="C27">
            <v>92524658</v>
          </cell>
          <cell r="D27">
            <v>37954242</v>
          </cell>
          <cell r="E27">
            <v>54570416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7770482</v>
          </cell>
          <cell r="D29">
            <v>49294320</v>
          </cell>
          <cell r="E29">
            <v>-41523838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2198378</v>
          </cell>
          <cell r="D30">
            <v>2198378</v>
          </cell>
          <cell r="E30">
            <v>0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34899595</v>
          </cell>
          <cell r="D33">
            <v>12434800</v>
          </cell>
          <cell r="E33">
            <v>22464795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-29327491</v>
          </cell>
          <cell r="D34">
            <v>34661142</v>
          </cell>
          <cell r="E34">
            <v>-63988633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340237360</v>
          </cell>
          <cell r="D37">
            <v>258078738</v>
          </cell>
          <cell r="E37">
            <v>82158622</v>
          </cell>
        </row>
        <row r="38">
          <cell r="B38" t="str">
            <v>Хорижий валюталардаги фойда</v>
          </cell>
          <cell r="C38">
            <v>2086830197</v>
          </cell>
          <cell r="D38">
            <v>217589</v>
          </cell>
          <cell r="E38">
            <v>2086612608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/>
          <cell r="E39"/>
        </row>
        <row r="40">
          <cell r="B40" t="str">
            <v>Инвестициядан олинган фойда ва дивидендлар</v>
          </cell>
          <cell r="C40">
            <v>1474022</v>
          </cell>
          <cell r="D40">
            <v>1474022</v>
          </cell>
          <cell r="E40"/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/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30103532</v>
          </cell>
          <cell r="D42">
            <v>4028741</v>
          </cell>
          <cell r="E42">
            <v>26074791</v>
          </cell>
        </row>
        <row r="43">
          <cell r="B43" t="str">
            <v>Бошқа фоизсиз даромадлар</v>
          </cell>
          <cell r="C43">
            <v>138772</v>
          </cell>
          <cell r="D43">
            <v>138772</v>
          </cell>
          <cell r="E43"/>
        </row>
        <row r="44">
          <cell r="B44" t="str">
            <v>Жами фоизсиз даромадлар</v>
          </cell>
          <cell r="C44">
            <v>2458783883</v>
          </cell>
          <cell r="D44">
            <v>263937862</v>
          </cell>
          <cell r="E44">
            <v>2194846021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1687521099</v>
          </cell>
          <cell r="D47">
            <v>1311664458</v>
          </cell>
          <cell r="E47">
            <v>375856641</v>
          </cell>
        </row>
        <row r="48">
          <cell r="B48" t="str">
            <v>Хорижий валютада кўрилган зарарлар</v>
          </cell>
          <cell r="C48">
            <v>362063845</v>
          </cell>
          <cell r="D48">
            <v>221795</v>
          </cell>
          <cell r="E48">
            <v>361842050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/>
          <cell r="E50"/>
        </row>
        <row r="51">
          <cell r="B51" t="str">
            <v>Бошқа фоизсиз харажатлар</v>
          </cell>
          <cell r="C51">
            <v>107744</v>
          </cell>
          <cell r="D51">
            <v>107744</v>
          </cell>
          <cell r="E51"/>
        </row>
        <row r="52">
          <cell r="B52" t="str">
            <v>Жами фоизсиз харажатлар</v>
          </cell>
          <cell r="C52">
            <v>2049692688</v>
          </cell>
          <cell r="D52">
            <v>1311993997</v>
          </cell>
          <cell r="E52">
            <v>737698691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379763704</v>
          </cell>
          <cell r="D54">
            <v>-1013394993</v>
          </cell>
          <cell r="E54">
            <v>1393158697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122415557</v>
          </cell>
          <cell r="D57">
            <v>122415557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13240730</v>
          </cell>
          <cell r="D58">
            <v>13240730</v>
          </cell>
          <cell r="E58"/>
        </row>
        <row r="59">
          <cell r="B59" t="str">
            <v>Ижара ва таъминот харажатлари</v>
          </cell>
          <cell r="C59">
            <v>11079412</v>
          </cell>
          <cell r="D59">
            <v>11079412</v>
          </cell>
          <cell r="E59"/>
        </row>
        <row r="60">
          <cell r="B60" t="str">
            <v>Хизмат сафари ва транспорт харажатлари</v>
          </cell>
          <cell r="C60">
            <v>6353341</v>
          </cell>
          <cell r="D60">
            <v>6353341</v>
          </cell>
          <cell r="E60"/>
        </row>
        <row r="61">
          <cell r="B61" t="str">
            <v>Маъмурий харажатлар</v>
          </cell>
          <cell r="C61">
            <v>12718783</v>
          </cell>
          <cell r="D61">
            <v>12718783</v>
          </cell>
          <cell r="E61"/>
        </row>
        <row r="62">
          <cell r="B62" t="str">
            <v>Репрезентация ва хайрия</v>
          </cell>
          <cell r="C62">
            <v>4310735</v>
          </cell>
          <cell r="D62">
            <v>4310735</v>
          </cell>
          <cell r="E62"/>
        </row>
        <row r="63">
          <cell r="B63" t="str">
            <v>Эскириш харажатлари</v>
          </cell>
          <cell r="C63">
            <v>13168924</v>
          </cell>
          <cell r="D63">
            <v>13168924</v>
          </cell>
          <cell r="E63"/>
        </row>
        <row r="64">
          <cell r="B64" t="str">
            <v>Суғурта харажатлари</v>
          </cell>
          <cell r="C64">
            <v>24370</v>
          </cell>
          <cell r="D64">
            <v>24370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5473939</v>
          </cell>
          <cell r="D65">
            <v>5473939</v>
          </cell>
          <cell r="E65"/>
        </row>
        <row r="66">
          <cell r="B66" t="str">
            <v>Жарима ва пенялар</v>
          </cell>
          <cell r="C66">
            <v>321962</v>
          </cell>
          <cell r="D66">
            <v>321962</v>
          </cell>
          <cell r="E66"/>
        </row>
        <row r="67">
          <cell r="B67" t="str">
            <v>Бошқа операцион харажатлар</v>
          </cell>
          <cell r="C67">
            <v>21640845</v>
          </cell>
          <cell r="D67">
            <v>21640845</v>
          </cell>
          <cell r="E67"/>
        </row>
        <row r="68">
          <cell r="B68" t="str">
            <v>Жами операцион харажатлар</v>
          </cell>
          <cell r="C68">
            <v>197507868</v>
          </cell>
          <cell r="D68">
            <v>197507868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182255836</v>
          </cell>
          <cell r="D70">
            <v>-1210902861</v>
          </cell>
          <cell r="E70">
            <v>1393158697</v>
          </cell>
        </row>
        <row r="71">
          <cell r="B71" t="str">
            <v>Фойда солиғини баҳолаш</v>
          </cell>
          <cell r="C71">
            <v>19953549</v>
          </cell>
          <cell r="D71">
            <v>19953549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162302287</v>
          </cell>
          <cell r="D73">
            <v>-1230856410</v>
          </cell>
          <cell r="E73">
            <v>1393158697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162302287</v>
          </cell>
          <cell r="D77">
            <v>-1230856410</v>
          </cell>
          <cell r="E77">
            <v>1393158697</v>
          </cell>
        </row>
      </sheetData>
      <sheetData sheetId="2">
        <row r="7">
          <cell r="C7">
            <v>1694186984</v>
          </cell>
        </row>
        <row r="9">
          <cell r="C9">
            <v>410510830</v>
          </cell>
          <cell r="E9">
            <v>103763866</v>
          </cell>
          <cell r="G9">
            <v>0</v>
          </cell>
        </row>
      </sheetData>
      <sheetData sheetId="3"/>
      <sheetData sheetId="4">
        <row r="7">
          <cell r="I7">
            <v>0.35293337983241213</v>
          </cell>
        </row>
        <row r="9">
          <cell r="I9">
            <v>0.28370125529681339</v>
          </cell>
        </row>
        <row r="11">
          <cell r="I11">
            <v>0.28370125529681339</v>
          </cell>
        </row>
        <row r="13">
          <cell r="I13">
            <v>0.14479693412670186</v>
          </cell>
        </row>
        <row r="16">
          <cell r="I16">
            <v>0.56260427752532938</v>
          </cell>
        </row>
        <row r="18">
          <cell r="I18">
            <v>3.6252983386594915</v>
          </cell>
        </row>
        <row r="21">
          <cell r="I21">
            <v>2.391370090840315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alans"/>
      <sheetName val="Income"/>
      <sheetName val="Bank Assets analysis"/>
      <sheetName val="Bank Liabilities analysis"/>
      <sheetName val="Economic normatives"/>
      <sheetName val="ишчилар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2641543</v>
          </cell>
          <cell r="D5">
            <v>1241254</v>
          </cell>
          <cell r="E5">
            <v>1400289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115434076</v>
          </cell>
          <cell r="D6">
            <v>115234404</v>
          </cell>
          <cell r="E6">
            <v>199672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356362330</v>
          </cell>
          <cell r="D7">
            <v>20000000</v>
          </cell>
          <cell r="E7">
            <v>336362330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356362330</v>
          </cell>
          <cell r="D8">
            <v>20000000</v>
          </cell>
          <cell r="E8">
            <v>336362330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181046468</v>
          </cell>
          <cell r="D10">
            <v>181046468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184013821</v>
          </cell>
          <cell r="D11">
            <v>184013821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-2967353</v>
          </cell>
          <cell r="D12">
            <v>-2967353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15886417</v>
          </cell>
          <cell r="D24">
            <v>15886417</v>
          </cell>
          <cell r="E24">
            <v>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16642418</v>
          </cell>
          <cell r="D25">
            <v>16642418</v>
          </cell>
          <cell r="E25"/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756001</v>
          </cell>
          <cell r="D26">
            <v>756001</v>
          </cell>
          <cell r="E26"/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1365125</v>
          </cell>
          <cell r="D30">
            <v>1365125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14863981</v>
          </cell>
          <cell r="D31">
            <v>13864213</v>
          </cell>
          <cell r="E31">
            <v>999768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5307792</v>
          </cell>
          <cell r="D32">
            <v>4308024</v>
          </cell>
          <cell r="E32">
            <v>999768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9577852</v>
          </cell>
          <cell r="D33">
            <v>9577852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21663</v>
          </cell>
          <cell r="D34">
            <v>21663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3909375</v>
          </cell>
          <cell r="D39">
            <v>3909375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113229</v>
          </cell>
          <cell r="D40">
            <v>113229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3780046</v>
          </cell>
          <cell r="D41">
            <v>3780046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16100</v>
          </cell>
          <cell r="D42">
            <v>16100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633061</v>
          </cell>
          <cell r="D43">
            <v>633061</v>
          </cell>
          <cell r="E43">
            <v>0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633061</v>
          </cell>
          <cell r="D44">
            <v>633061</v>
          </cell>
          <cell r="E44"/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684323626</v>
          </cell>
          <cell r="D47">
            <v>345361567</v>
          </cell>
          <cell r="E47">
            <v>338962059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53826531</v>
          </cell>
          <cell r="D50">
            <v>21585944</v>
          </cell>
          <cell r="E50">
            <v>32240587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1319</v>
          </cell>
          <cell r="D51">
            <v>1319</v>
          </cell>
          <cell r="E51">
            <v>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86684</v>
          </cell>
          <cell r="D52">
            <v>86684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5565058</v>
          </cell>
          <cell r="D53">
            <v>0</v>
          </cell>
          <cell r="E53">
            <v>5565058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0</v>
          </cell>
          <cell r="D58">
            <v>0</v>
          </cell>
          <cell r="E58">
            <v>0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87127872</v>
          </cell>
          <cell r="D59">
            <v>87127872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6559749</v>
          </cell>
          <cell r="D62">
            <v>6221149</v>
          </cell>
          <cell r="E62">
            <v>338600</v>
          </cell>
        </row>
        <row r="63">
          <cell r="A63" t="str">
            <v>29</v>
          </cell>
          <cell r="B63" t="str">
            <v>Жами мажбуриятлар</v>
          </cell>
          <cell r="C63">
            <v>153167213</v>
          </cell>
          <cell r="D63">
            <v>115022968</v>
          </cell>
          <cell r="E63">
            <v>38144245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13090770</v>
          </cell>
          <cell r="D71">
            <v>13090770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13090770</v>
          </cell>
          <cell r="D72">
            <v>13090770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18065643</v>
          </cell>
          <cell r="D75">
            <v>18065643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17798103</v>
          </cell>
          <cell r="D76">
            <v>17798103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531156413</v>
          </cell>
          <cell r="D77">
            <v>531156413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684323626</v>
          </cell>
          <cell r="D78">
            <v>646179381</v>
          </cell>
          <cell r="E78">
            <v>38144245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3828021</v>
          </cell>
          <cell r="D6">
            <v>3828021</v>
          </cell>
        </row>
        <row r="7">
          <cell r="B7" t="str">
            <v>Бошқа банклардаги ҳисобварақлар бўйича фоизли даромадлар</v>
          </cell>
          <cell r="C7">
            <v>5752961</v>
          </cell>
          <cell r="D7">
            <v>2324488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7926332</v>
          </cell>
          <cell r="D9">
            <v>7926332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2310362</v>
          </cell>
          <cell r="D12">
            <v>2310362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/>
        </row>
        <row r="14">
          <cell r="B14" t="str">
            <v>Бошқа фоизли даромадлар</v>
          </cell>
          <cell r="C14">
            <v>0</v>
          </cell>
          <cell r="D14"/>
        </row>
        <row r="15">
          <cell r="B15" t="str">
            <v>Жами фоизли даромадлар</v>
          </cell>
          <cell r="C15">
            <v>19817676</v>
          </cell>
          <cell r="D15">
            <v>16389203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3505</v>
          </cell>
          <cell r="D18">
            <v>3505</v>
          </cell>
        </row>
        <row r="19">
          <cell r="B19" t="str">
            <v>Муддатли депозитлар бўйича фоизли харажатлар</v>
          </cell>
          <cell r="C19">
            <v>0</v>
          </cell>
          <cell r="D19"/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/>
        </row>
        <row r="21">
          <cell r="B21" t="str">
            <v>Бошқа банкларнинг ҳисобварақлари бўйича фоизли харажатлар</v>
          </cell>
          <cell r="C21">
            <v>0</v>
          </cell>
          <cell r="D21"/>
        </row>
        <row r="22">
          <cell r="B22" t="str">
            <v>Жами депозитлар бўйича фоизли харажатлар</v>
          </cell>
          <cell r="C22">
            <v>3505</v>
          </cell>
          <cell r="D22">
            <v>3505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/>
        </row>
        <row r="25">
          <cell r="B25" t="str">
            <v>Бошқа фоизли харажатлар</v>
          </cell>
          <cell r="C25">
            <v>0</v>
          </cell>
          <cell r="D25"/>
        </row>
        <row r="26">
          <cell r="B26" t="str">
            <v>Жами кредит ва бошқа қарздорликлар бўйича фоизли харажатлар</v>
          </cell>
          <cell r="C26">
            <v>0</v>
          </cell>
          <cell r="D26">
            <v>0</v>
          </cell>
        </row>
        <row r="27">
          <cell r="B27" t="str">
            <v>Жами фоизли харажатлар</v>
          </cell>
          <cell r="C27">
            <v>3505</v>
          </cell>
          <cell r="D27">
            <v>3505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19814171</v>
          </cell>
          <cell r="D29">
            <v>16385698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15030</v>
          </cell>
          <cell r="D30">
            <v>15030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0</v>
          </cell>
          <cell r="D33"/>
        </row>
        <row r="34">
          <cell r="B34" t="str">
            <v>Активлар бўйича эҳтимолий зарарларни баҳолашдан кейинги соф даромад</v>
          </cell>
          <cell r="C34">
            <v>19799141</v>
          </cell>
          <cell r="D34">
            <v>16370668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52731229</v>
          </cell>
          <cell r="D37">
            <v>52243060</v>
          </cell>
        </row>
        <row r="38">
          <cell r="B38" t="str">
            <v>Хорижий валюталардаги фойда</v>
          </cell>
          <cell r="C38">
            <v>848905</v>
          </cell>
          <cell r="D38"/>
        </row>
        <row r="39">
          <cell r="B39" t="str">
            <v>Тижорат операцияларидан олинган фойда</v>
          </cell>
          <cell r="C39">
            <v>0</v>
          </cell>
          <cell r="D39"/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</row>
        <row r="43">
          <cell r="B43" t="str">
            <v>Бошқа фоизсиз даромадлар</v>
          </cell>
          <cell r="C43">
            <v>1340</v>
          </cell>
          <cell r="D43">
            <v>1340</v>
          </cell>
        </row>
        <row r="44">
          <cell r="B44" t="str">
            <v>Жами фоизсиз даромадлар</v>
          </cell>
          <cell r="C44">
            <v>54981795</v>
          </cell>
          <cell r="D44">
            <v>53644721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46985500</v>
          </cell>
          <cell r="D47">
            <v>46985500</v>
          </cell>
        </row>
        <row r="48">
          <cell r="B48" t="str">
            <v>Хорижий валютада кўрилган зарарлар</v>
          </cell>
          <cell r="C48">
            <v>3248319</v>
          </cell>
          <cell r="D48"/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</row>
        <row r="50">
          <cell r="B50" t="str">
            <v>Инвестициядан кўрилган зарарлар</v>
          </cell>
          <cell r="C50">
            <v>0</v>
          </cell>
          <cell r="D50"/>
        </row>
        <row r="51">
          <cell r="B51" t="str">
            <v>Бошқа фоизсиз харажатлар</v>
          </cell>
          <cell r="C51">
            <v>0</v>
          </cell>
          <cell r="D51"/>
        </row>
        <row r="52">
          <cell r="B52" t="str">
            <v>Жами фоизсиз харажатлар</v>
          </cell>
          <cell r="C52">
            <v>50233819</v>
          </cell>
          <cell r="D52">
            <v>46985500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24547117</v>
          </cell>
          <cell r="D54">
            <v>23029889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2992096</v>
          </cell>
          <cell r="D57">
            <v>2992096</v>
          </cell>
        </row>
        <row r="58">
          <cell r="B58" t="str">
            <v xml:space="preserve">шундан, раҳбар ходимларга тўловлар </v>
          </cell>
          <cell r="C58">
            <v>1370001</v>
          </cell>
          <cell r="D58">
            <v>1370001</v>
          </cell>
        </row>
        <row r="59">
          <cell r="B59" t="str">
            <v>Ижара ва таъминот харажатлари</v>
          </cell>
          <cell r="C59">
            <v>1199471</v>
          </cell>
          <cell r="D59">
            <v>1199471</v>
          </cell>
        </row>
        <row r="60">
          <cell r="B60" t="str">
            <v>Хизмат сафари ва транспорт харажатлари</v>
          </cell>
          <cell r="C60">
            <v>6242</v>
          </cell>
          <cell r="D60">
            <v>6242</v>
          </cell>
        </row>
        <row r="61">
          <cell r="B61" t="str">
            <v>Маъмурий харажатлар</v>
          </cell>
          <cell r="C61">
            <v>39656</v>
          </cell>
          <cell r="D61">
            <v>39656</v>
          </cell>
        </row>
        <row r="62">
          <cell r="B62" t="str">
            <v>Репрезентация ва хайрия</v>
          </cell>
          <cell r="C62">
            <v>26166</v>
          </cell>
          <cell r="D62">
            <v>26166</v>
          </cell>
        </row>
        <row r="63">
          <cell r="B63" t="str">
            <v>Эскириш харажатлари</v>
          </cell>
          <cell r="C63">
            <v>233696</v>
          </cell>
          <cell r="D63">
            <v>233696</v>
          </cell>
        </row>
        <row r="64">
          <cell r="B64" t="str">
            <v>Суғурта харажатлари</v>
          </cell>
          <cell r="C64">
            <v>15515</v>
          </cell>
          <cell r="D64">
            <v>15515</v>
          </cell>
        </row>
        <row r="65">
          <cell r="B65" t="str">
            <v>Солиқлар (фойда солиғидан ташқари) ва лицензиялар</v>
          </cell>
          <cell r="C65">
            <v>34951</v>
          </cell>
          <cell r="D65">
            <v>34951</v>
          </cell>
        </row>
        <row r="66">
          <cell r="B66" t="str">
            <v>Жарима ва пенялар</v>
          </cell>
          <cell r="C66">
            <v>54575</v>
          </cell>
          <cell r="D66">
            <v>54575</v>
          </cell>
        </row>
        <row r="67">
          <cell r="B67" t="str">
            <v>Бошқа операцион харажатлар</v>
          </cell>
          <cell r="C67">
            <v>5102</v>
          </cell>
          <cell r="D67">
            <v>5102</v>
          </cell>
        </row>
        <row r="68">
          <cell r="B68" t="str">
            <v>Жами операцион харажатлар</v>
          </cell>
          <cell r="C68">
            <v>4607470</v>
          </cell>
          <cell r="D68">
            <v>4607470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19939647</v>
          </cell>
          <cell r="D70">
            <v>18422419</v>
          </cell>
        </row>
        <row r="71">
          <cell r="B71" t="str">
            <v>Фойда солиғини баҳолаш</v>
          </cell>
          <cell r="C71">
            <v>2141544</v>
          </cell>
          <cell r="D71">
            <v>2141544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17798103</v>
          </cell>
          <cell r="D73">
            <v>16280875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17798103</v>
          </cell>
          <cell r="D77">
            <v>16280875</v>
          </cell>
        </row>
        <row r="79">
          <cell r="B79" t="str">
            <v>Бошқарув Раис имзоси:</v>
          </cell>
          <cell r="C79"/>
          <cell r="D79"/>
        </row>
        <row r="80">
          <cell r="B80"/>
          <cell r="C80"/>
          <cell r="D80"/>
        </row>
        <row r="81">
          <cell r="B81" t="str">
            <v>Бош бухгалтер имзоси:</v>
          </cell>
          <cell r="C81"/>
          <cell r="D81"/>
        </row>
      </sheetData>
      <sheetData sheetId="2">
        <row r="7">
          <cell r="C7">
            <v>18434076</v>
          </cell>
        </row>
        <row r="9">
          <cell r="C9">
            <v>109105536</v>
          </cell>
          <cell r="E9">
            <v>0</v>
          </cell>
          <cell r="G9">
            <v>85497635</v>
          </cell>
        </row>
      </sheetData>
      <sheetData sheetId="3"/>
      <sheetData sheetId="4">
        <row r="7">
          <cell r="I7">
            <v>0.42061859813258617</v>
          </cell>
        </row>
        <row r="9">
          <cell r="I9">
            <v>0.39363794931977242</v>
          </cell>
        </row>
        <row r="11">
          <cell r="I11">
            <v>0.39363794931977242</v>
          </cell>
        </row>
        <row r="13">
          <cell r="I13">
            <v>0.64942388337969015</v>
          </cell>
        </row>
        <row r="16">
          <cell r="I16">
            <v>0.44829550572903937</v>
          </cell>
        </row>
        <row r="18">
          <cell r="I18">
            <v>3.1007805052671054</v>
          </cell>
        </row>
        <row r="21">
          <cell r="I21">
            <v>8.6677547386012037</v>
          </cell>
        </row>
      </sheetData>
      <sheetData sheetId="5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261302672</v>
          </cell>
          <cell r="D5">
            <v>129631506</v>
          </cell>
          <cell r="E5">
            <v>131671166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105219998</v>
          </cell>
          <cell r="D6">
            <v>105208956</v>
          </cell>
          <cell r="E6">
            <v>11042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1076718979</v>
          </cell>
          <cell r="D7">
            <v>808909797</v>
          </cell>
          <cell r="E7">
            <v>267809182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1076718979</v>
          </cell>
          <cell r="D8">
            <v>808909797</v>
          </cell>
          <cell r="E8">
            <v>267809182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620759708</v>
          </cell>
          <cell r="D10">
            <v>620759708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646000000</v>
          </cell>
          <cell r="D11">
            <v>646000000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-25240292</v>
          </cell>
          <cell r="D12">
            <v>-25240292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696</v>
          </cell>
          <cell r="D14">
            <v>696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696</v>
          </cell>
          <cell r="D15">
            <v>696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123673041</v>
          </cell>
          <cell r="D17">
            <v>123673041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125459041</v>
          </cell>
          <cell r="D18">
            <v>125459041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-1786000</v>
          </cell>
          <cell r="D19">
            <v>-1786000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300006184</v>
          </cell>
          <cell r="D21">
            <v>300006184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300006184</v>
          </cell>
          <cell r="D22">
            <v>300006184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941410165</v>
          </cell>
          <cell r="D24">
            <v>748044246</v>
          </cell>
          <cell r="E24">
            <v>193365919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951020704</v>
          </cell>
          <cell r="D25">
            <v>756372457</v>
          </cell>
          <cell r="E25">
            <v>194648247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9610539</v>
          </cell>
          <cell r="D26">
            <v>8328211</v>
          </cell>
          <cell r="E26">
            <v>1282328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269911500</v>
          </cell>
          <cell r="D30">
            <v>269911500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111556935</v>
          </cell>
          <cell r="D31">
            <v>103722072</v>
          </cell>
          <cell r="E31">
            <v>7834863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109979402</v>
          </cell>
          <cell r="D32">
            <v>102144539</v>
          </cell>
          <cell r="E32">
            <v>7834863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1765556</v>
          </cell>
          <cell r="D33">
            <v>1765556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188023</v>
          </cell>
          <cell r="D34">
            <v>188023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114523992</v>
          </cell>
          <cell r="D35">
            <v>114523992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73982509</v>
          </cell>
          <cell r="D36">
            <v>73982509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40541483</v>
          </cell>
          <cell r="D37">
            <v>40541483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369331</v>
          </cell>
          <cell r="D39">
            <v>369331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369331</v>
          </cell>
          <cell r="D40">
            <v>369331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0</v>
          </cell>
          <cell r="D41"/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0</v>
          </cell>
          <cell r="D42"/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88590600</v>
          </cell>
          <cell r="D43">
            <v>55544535</v>
          </cell>
          <cell r="E43">
            <v>33046065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91499808</v>
          </cell>
          <cell r="D44">
            <v>58074119</v>
          </cell>
          <cell r="E44">
            <v>33425689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2909208</v>
          </cell>
          <cell r="D45">
            <v>2529584</v>
          </cell>
          <cell r="E45">
            <v>379624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4013305139</v>
          </cell>
          <cell r="D47">
            <v>3379566902</v>
          </cell>
          <cell r="E47">
            <v>633738237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2071822561</v>
          </cell>
          <cell r="D50">
            <v>1979528459</v>
          </cell>
          <cell r="E50">
            <v>92294102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720566339</v>
          </cell>
          <cell r="D51">
            <v>538543263</v>
          </cell>
          <cell r="E51">
            <v>182023076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0</v>
          </cell>
          <cell r="D52">
            <v>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276924560</v>
          </cell>
          <cell r="D53">
            <v>5853905</v>
          </cell>
          <cell r="E53">
            <v>271070655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200993569</v>
          </cell>
          <cell r="D54">
            <v>200993569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126331914</v>
          </cell>
          <cell r="D55">
            <v>109454484</v>
          </cell>
          <cell r="E55">
            <v>16877430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6000000</v>
          </cell>
          <cell r="D57">
            <v>6000000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26189693</v>
          </cell>
          <cell r="D58">
            <v>25626090</v>
          </cell>
          <cell r="E58">
            <v>563603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1693423</v>
          </cell>
          <cell r="D59">
            <v>1693423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709454</v>
          </cell>
          <cell r="D60">
            <v>703887</v>
          </cell>
          <cell r="E60">
            <v>5567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/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44871533</v>
          </cell>
          <cell r="D62">
            <v>14787391</v>
          </cell>
          <cell r="E62">
            <v>30084142</v>
          </cell>
        </row>
        <row r="63">
          <cell r="A63" t="str">
            <v>29</v>
          </cell>
          <cell r="B63" t="str">
            <v>Жами мажбуриятлар</v>
          </cell>
          <cell r="C63">
            <v>3476103046</v>
          </cell>
          <cell r="D63">
            <v>2883184471</v>
          </cell>
          <cell r="E63">
            <v>592918575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499700000</v>
          </cell>
          <cell r="D68">
            <v>499700000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300000</v>
          </cell>
          <cell r="D69">
            <v>300000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178717</v>
          </cell>
          <cell r="D70">
            <v>178717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22696594</v>
          </cell>
          <cell r="D71">
            <v>22696594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20545253</v>
          </cell>
          <cell r="D72">
            <v>20545253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2151341</v>
          </cell>
          <cell r="D74">
            <v>2151341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14326782</v>
          </cell>
          <cell r="D75">
            <v>14326782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-9706095</v>
          </cell>
          <cell r="D76">
            <v>-9706095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537202093</v>
          </cell>
          <cell r="D77">
            <v>537202093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4013305139</v>
          </cell>
          <cell r="D78">
            <v>3420386564</v>
          </cell>
          <cell r="E78">
            <v>592918575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3250205</v>
          </cell>
          <cell r="D6">
            <v>3250205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45287250</v>
          </cell>
          <cell r="D7">
            <v>42258521</v>
          </cell>
          <cell r="E7">
            <v>3028729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6793445</v>
          </cell>
          <cell r="D8">
            <v>6793445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51219008</v>
          </cell>
          <cell r="D9">
            <v>51219008</v>
          </cell>
          <cell r="E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67468400</v>
          </cell>
          <cell r="D12">
            <v>60812921</v>
          </cell>
          <cell r="E12">
            <v>6655479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3801300</v>
          </cell>
          <cell r="D13">
            <v>3801300</v>
          </cell>
          <cell r="E13">
            <v>0</v>
          </cell>
        </row>
        <row r="14">
          <cell r="B14" t="str">
            <v>Бошқа фоизли даромадлар</v>
          </cell>
          <cell r="C14">
            <v>35682563</v>
          </cell>
          <cell r="D14">
            <v>29571622</v>
          </cell>
          <cell r="E14">
            <v>6110941</v>
          </cell>
        </row>
        <row r="15">
          <cell r="B15" t="str">
            <v>Жами фоизли даромадлар</v>
          </cell>
          <cell r="C15">
            <v>213502171</v>
          </cell>
          <cell r="D15">
            <v>197707022</v>
          </cell>
          <cell r="E15">
            <v>15795149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94840244</v>
          </cell>
          <cell r="D18">
            <v>94840244</v>
          </cell>
          <cell r="E18">
            <v>0</v>
          </cell>
        </row>
        <row r="19">
          <cell r="B19" t="str">
            <v>Муддатли депозитлар бўйича фоизли харажатлар</v>
          </cell>
          <cell r="C19">
            <v>69406833</v>
          </cell>
          <cell r="D19">
            <v>60090707</v>
          </cell>
          <cell r="E19">
            <v>9316126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1956620</v>
          </cell>
          <cell r="D21">
            <v>1630497</v>
          </cell>
          <cell r="E21">
            <v>326123</v>
          </cell>
        </row>
        <row r="22">
          <cell r="B22" t="str">
            <v>Жами депозитлар бўйича фоизли харажатлар</v>
          </cell>
          <cell r="C22">
            <v>166203697</v>
          </cell>
          <cell r="D22">
            <v>156561448</v>
          </cell>
          <cell r="E22">
            <v>9642249</v>
          </cell>
        </row>
        <row r="23">
          <cell r="B23" t="str">
            <v>Кредитлар бўйича фоизли харажатлар</v>
          </cell>
          <cell r="C23">
            <v>2005695</v>
          </cell>
          <cell r="D23">
            <v>1784734</v>
          </cell>
          <cell r="E23">
            <v>220961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136396</v>
          </cell>
          <cell r="D24">
            <v>136396</v>
          </cell>
          <cell r="E24">
            <v>0</v>
          </cell>
        </row>
        <row r="25">
          <cell r="B25" t="str">
            <v>Бошқа фоизли харажатлар</v>
          </cell>
          <cell r="C25">
            <v>34737428</v>
          </cell>
          <cell r="D25">
            <v>28544641</v>
          </cell>
          <cell r="E25">
            <v>6192787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36879519</v>
          </cell>
          <cell r="D26">
            <v>30465771</v>
          </cell>
          <cell r="E26">
            <v>6413748</v>
          </cell>
        </row>
        <row r="27">
          <cell r="B27" t="str">
            <v>Жами фоизли харажатлар</v>
          </cell>
          <cell r="C27">
            <v>203083216</v>
          </cell>
          <cell r="D27">
            <v>187027219</v>
          </cell>
          <cell r="E27">
            <v>16055997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10418955</v>
          </cell>
          <cell r="D29">
            <v>10679803</v>
          </cell>
          <cell r="E29">
            <v>-260848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5261784</v>
          </cell>
          <cell r="D30">
            <v>5213066</v>
          </cell>
          <cell r="E30">
            <v>48718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20924</v>
          </cell>
          <cell r="D33">
            <v>20924</v>
          </cell>
          <cell r="E33">
            <v>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5136247</v>
          </cell>
          <cell r="D34">
            <v>5445813</v>
          </cell>
          <cell r="E34">
            <v>-309566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69017656</v>
          </cell>
          <cell r="D37">
            <v>63353836</v>
          </cell>
          <cell r="E37">
            <v>5663820</v>
          </cell>
        </row>
        <row r="38">
          <cell r="B38" t="str">
            <v>Хорижий валюталардаги фойда</v>
          </cell>
          <cell r="C38">
            <v>12064931</v>
          </cell>
          <cell r="D38">
            <v>672724</v>
          </cell>
          <cell r="E38">
            <v>11392207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1401508</v>
          </cell>
          <cell r="D40">
            <v>1401508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20453006</v>
          </cell>
          <cell r="D41">
            <v>20453006</v>
          </cell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>
            <v>0</v>
          </cell>
          <cell r="E42">
            <v>0</v>
          </cell>
        </row>
        <row r="43">
          <cell r="B43" t="str">
            <v>Бошқа фоизсиз даромадлар</v>
          </cell>
          <cell r="C43">
            <v>2205121</v>
          </cell>
          <cell r="D43">
            <v>2205121</v>
          </cell>
          <cell r="E43">
            <v>0</v>
          </cell>
        </row>
        <row r="44">
          <cell r="B44" t="str">
            <v>Жами фоизсиз даромадлар</v>
          </cell>
          <cell r="C44">
            <v>105142222</v>
          </cell>
          <cell r="D44">
            <v>88086195</v>
          </cell>
          <cell r="E44">
            <v>17056027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13044919</v>
          </cell>
          <cell r="D47">
            <v>10739264</v>
          </cell>
          <cell r="E47">
            <v>2305655</v>
          </cell>
        </row>
        <row r="48">
          <cell r="B48" t="str">
            <v>Хорижий валютада кўрилган зарарлар</v>
          </cell>
          <cell r="C48">
            <v>11889058</v>
          </cell>
          <cell r="D48">
            <v>95895</v>
          </cell>
          <cell r="E48">
            <v>11793163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879481</v>
          </cell>
          <cell r="D51">
            <v>879481</v>
          </cell>
          <cell r="E51">
            <v>0</v>
          </cell>
        </row>
        <row r="52">
          <cell r="B52" t="str">
            <v>Жами фоизсиз харажатлар</v>
          </cell>
          <cell r="C52">
            <v>25813458</v>
          </cell>
          <cell r="D52">
            <v>11714640</v>
          </cell>
          <cell r="E52">
            <v>14098818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84465011</v>
          </cell>
          <cell r="D54">
            <v>81817368</v>
          </cell>
          <cell r="E54">
            <v>2647643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52941013</v>
          </cell>
          <cell r="D57">
            <v>52941013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4193199</v>
          </cell>
          <cell r="D58">
            <v>4193199</v>
          </cell>
          <cell r="E58"/>
        </row>
        <row r="59">
          <cell r="B59" t="str">
            <v>Ижара ва таъминот харажатлари</v>
          </cell>
          <cell r="C59">
            <v>13020373</v>
          </cell>
          <cell r="D59">
            <v>13020373</v>
          </cell>
          <cell r="E59"/>
        </row>
        <row r="60">
          <cell r="B60" t="str">
            <v>Хизмат сафари ва транспорт харажатлари</v>
          </cell>
          <cell r="C60">
            <v>1622570</v>
          </cell>
          <cell r="D60">
            <v>1622570</v>
          </cell>
          <cell r="E60"/>
        </row>
        <row r="61">
          <cell r="B61" t="str">
            <v>Маъмурий харажатлар</v>
          </cell>
          <cell r="C61">
            <v>4234870</v>
          </cell>
          <cell r="D61">
            <v>4234870</v>
          </cell>
          <cell r="E61"/>
        </row>
        <row r="62">
          <cell r="B62" t="str">
            <v>Репрезентация ва хайрия</v>
          </cell>
          <cell r="C62">
            <v>4526915</v>
          </cell>
          <cell r="D62">
            <v>4526915</v>
          </cell>
          <cell r="E62"/>
        </row>
        <row r="63">
          <cell r="B63" t="str">
            <v>Эскириш харажатлари</v>
          </cell>
          <cell r="C63">
            <v>13483566</v>
          </cell>
          <cell r="D63">
            <v>13483566</v>
          </cell>
          <cell r="E63"/>
        </row>
        <row r="64">
          <cell r="B64" t="str">
            <v>Суғурта харажатлари</v>
          </cell>
          <cell r="C64">
            <v>35175</v>
          </cell>
          <cell r="D64">
            <v>35175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2188036</v>
          </cell>
          <cell r="D65">
            <v>2188036</v>
          </cell>
          <cell r="E65"/>
        </row>
        <row r="66">
          <cell r="B66" t="str">
            <v>Жарима ва пенялар</v>
          </cell>
          <cell r="C66">
            <v>47781</v>
          </cell>
          <cell r="D66">
            <v>47781</v>
          </cell>
          <cell r="E66"/>
        </row>
        <row r="67">
          <cell r="B67" t="str">
            <v>Бошқа операцион харажатлар</v>
          </cell>
          <cell r="C67">
            <v>1974001</v>
          </cell>
          <cell r="D67">
            <v>1974001</v>
          </cell>
          <cell r="E67"/>
        </row>
        <row r="68">
          <cell r="B68" t="str">
            <v>Жами операцион харажатлар</v>
          </cell>
          <cell r="C68">
            <v>94074300</v>
          </cell>
          <cell r="D68">
            <v>94074300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-9609289</v>
          </cell>
          <cell r="D70">
            <v>-12256932</v>
          </cell>
          <cell r="E70">
            <v>2647643</v>
          </cell>
        </row>
        <row r="71">
          <cell r="B71" t="str">
            <v>Фойда солиғини баҳолаш</v>
          </cell>
          <cell r="C71">
            <v>96806</v>
          </cell>
          <cell r="D71">
            <v>96806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-9706095</v>
          </cell>
          <cell r="D73">
            <v>-12353738</v>
          </cell>
          <cell r="E73">
            <v>2647643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-9706095</v>
          </cell>
          <cell r="D77">
            <v>-12353738</v>
          </cell>
          <cell r="E77">
            <v>2647643</v>
          </cell>
        </row>
        <row r="79">
          <cell r="B79" t="str">
            <v>Бошқарув Раис имзоси:</v>
          </cell>
          <cell r="C79"/>
          <cell r="D79"/>
          <cell r="E79"/>
        </row>
        <row r="80">
          <cell r="B80"/>
          <cell r="C80"/>
          <cell r="D80"/>
          <cell r="E80"/>
        </row>
        <row r="81">
          <cell r="B81" t="str">
            <v>Бош бухгалтер имзоси:</v>
          </cell>
          <cell r="C81"/>
          <cell r="D81"/>
          <cell r="E81"/>
        </row>
      </sheetData>
      <sheetData sheetId="2">
        <row r="7">
          <cell r="C7">
            <v>105219998</v>
          </cell>
        </row>
        <row r="9">
          <cell r="C9">
            <v>234812179</v>
          </cell>
          <cell r="E9">
            <v>66906800</v>
          </cell>
          <cell r="G9">
            <v>100000000</v>
          </cell>
        </row>
      </sheetData>
      <sheetData sheetId="3"/>
      <sheetData sheetId="4">
        <row r="7">
          <cell r="I7">
            <v>0.16497884407890265</v>
          </cell>
        </row>
        <row r="9">
          <cell r="I9">
            <v>0.16456748469196822</v>
          </cell>
        </row>
        <row r="11">
          <cell r="I11">
            <v>0.1644752126126878</v>
          </cell>
        </row>
        <row r="13">
          <cell r="I13">
            <v>0.12518629598014183</v>
          </cell>
        </row>
        <row r="16">
          <cell r="I16">
            <v>0.40059192867666971</v>
          </cell>
        </row>
        <row r="18">
          <cell r="I18">
            <v>2.740223489987653</v>
          </cell>
        </row>
        <row r="21">
          <cell r="I21">
            <v>1.126795450695232</v>
          </cell>
        </row>
      </sheetData>
      <sheetData sheetId="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Bank Assets Analysis"/>
      <sheetName val="Bank Liabilities Analysis"/>
      <sheetName val="Income 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0</v>
          </cell>
          <cell r="D5">
            <v>0</v>
          </cell>
          <cell r="E5">
            <v>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1416811561</v>
          </cell>
          <cell r="D6">
            <v>1404157431</v>
          </cell>
          <cell r="E6">
            <v>12654130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110002270</v>
          </cell>
          <cell r="D7">
            <v>56158450</v>
          </cell>
          <cell r="E7">
            <v>53843820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115747304</v>
          </cell>
          <cell r="D8">
            <v>56158450</v>
          </cell>
          <cell r="E8">
            <v>59588854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5745034</v>
          </cell>
          <cell r="D9">
            <v>0</v>
          </cell>
          <cell r="E9">
            <v>5745034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1143419938</v>
          </cell>
          <cell r="D10">
            <v>1143419938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1206200000</v>
          </cell>
          <cell r="D11">
            <v>1206200000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-62780062</v>
          </cell>
          <cell r="D12">
            <v>-62780062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47222467</v>
          </cell>
          <cell r="D17">
            <v>47222467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47222467</v>
          </cell>
          <cell r="D18">
            <v>47222467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104767023</v>
          </cell>
          <cell r="D21">
            <v>104767023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104767023</v>
          </cell>
          <cell r="D22">
            <v>104767023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9999064215</v>
          </cell>
          <cell r="D24">
            <v>9999064215</v>
          </cell>
          <cell r="E24">
            <v>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10470653730</v>
          </cell>
          <cell r="D25">
            <v>10470653730</v>
          </cell>
          <cell r="E25">
            <v>0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471589515</v>
          </cell>
          <cell r="D26">
            <v>471589515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617087874</v>
          </cell>
          <cell r="D30">
            <v>617087874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262813590</v>
          </cell>
          <cell r="D31">
            <v>262813590</v>
          </cell>
          <cell r="E31">
            <v>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277994589</v>
          </cell>
          <cell r="D32">
            <v>277994589</v>
          </cell>
          <cell r="E32">
            <v>0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43575</v>
          </cell>
          <cell r="D33">
            <v>43575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15224574</v>
          </cell>
          <cell r="D34">
            <v>15224574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586560</v>
          </cell>
          <cell r="D35">
            <v>586560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804364</v>
          </cell>
          <cell r="D36">
            <v>804364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217804</v>
          </cell>
          <cell r="D38">
            <v>217804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98431081</v>
          </cell>
          <cell r="D39">
            <v>98431081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90819463</v>
          </cell>
          <cell r="D40">
            <v>90819463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5671787</v>
          </cell>
          <cell r="D41">
            <v>5671787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1939831</v>
          </cell>
          <cell r="D42">
            <v>1939831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409953974</v>
          </cell>
          <cell r="D43">
            <v>401510619</v>
          </cell>
          <cell r="E43">
            <v>8443355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412622500</v>
          </cell>
          <cell r="D44">
            <v>404179145</v>
          </cell>
          <cell r="E44">
            <v>8443355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2668526</v>
          </cell>
          <cell r="D45">
            <v>2668526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14013298391</v>
          </cell>
          <cell r="D47">
            <v>13938357086</v>
          </cell>
          <cell r="E47">
            <v>74941305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530732761</v>
          </cell>
          <cell r="D50">
            <v>523129664</v>
          </cell>
          <cell r="E50">
            <v>7603097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5903766288</v>
          </cell>
          <cell r="D51">
            <v>5868180940</v>
          </cell>
          <cell r="E51">
            <v>35585348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320238</v>
          </cell>
          <cell r="D52">
            <v>320238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360000000</v>
          </cell>
          <cell r="D53">
            <v>360000000</v>
          </cell>
          <cell r="E53">
            <v>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3903260897</v>
          </cell>
          <cell r="D55">
            <v>3776719597</v>
          </cell>
          <cell r="E55">
            <v>126541300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168000000</v>
          </cell>
          <cell r="D56">
            <v>168000000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195113034</v>
          </cell>
          <cell r="D58">
            <v>191246460</v>
          </cell>
          <cell r="E58">
            <v>3866574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12239</v>
          </cell>
          <cell r="D59">
            <v>12239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348072233</v>
          </cell>
          <cell r="D62">
            <v>335228380</v>
          </cell>
          <cell r="E62">
            <v>12843853</v>
          </cell>
        </row>
        <row r="63">
          <cell r="A63" t="str">
            <v>29</v>
          </cell>
          <cell r="B63" t="str">
            <v>Жами мажбуриятлар</v>
          </cell>
          <cell r="C63">
            <v>11409277690</v>
          </cell>
          <cell r="D63">
            <v>11222837518</v>
          </cell>
          <cell r="E63">
            <v>186440172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2120464888</v>
          </cell>
          <cell r="D67">
            <v>2120464888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2120464888</v>
          </cell>
          <cell r="D68">
            <v>2120464888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277116465</v>
          </cell>
          <cell r="D70">
            <v>277116465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3330300</v>
          </cell>
          <cell r="D71">
            <v>3330300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3330300</v>
          </cell>
          <cell r="D72">
            <v>3330300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>
            <v>0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203109048</v>
          </cell>
          <cell r="D75">
            <v>203109048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101036530</v>
          </cell>
          <cell r="D76">
            <v>101036530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2604020701</v>
          </cell>
          <cell r="D77">
            <v>2604020701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14013298391</v>
          </cell>
          <cell r="D78">
            <v>13826858219</v>
          </cell>
          <cell r="E78">
            <v>186440172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7">
          <cell r="C7">
            <v>166811561</v>
          </cell>
        </row>
        <row r="9">
          <cell r="C9">
            <v>90720966</v>
          </cell>
          <cell r="E9">
            <v>14609163</v>
          </cell>
          <cell r="G9">
            <v>0</v>
          </cell>
        </row>
      </sheetData>
      <sheetData sheetId="2"/>
      <sheetData sheetId="3">
        <row r="6">
          <cell r="B6" t="str">
            <v>Марказий банкдаги ҳисобварақлар бўйича фоизли даромадлар</v>
          </cell>
          <cell r="C6">
            <v>25925617</v>
          </cell>
          <cell r="D6">
            <v>25925617</v>
          </cell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  <cell r="D7">
            <v>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60269438</v>
          </cell>
          <cell r="D9">
            <v>60269438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1943155439</v>
          </cell>
          <cell r="D12">
            <v>1943155439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9694685</v>
          </cell>
          <cell r="D13">
            <v>9694685</v>
          </cell>
        </row>
        <row r="14">
          <cell r="B14" t="str">
            <v>Бошқа фоизли даромадлар</v>
          </cell>
          <cell r="C14">
            <v>0</v>
          </cell>
          <cell r="D14">
            <v>0</v>
          </cell>
        </row>
        <row r="15">
          <cell r="B15" t="str">
            <v>Жами фоизли даромадлар</v>
          </cell>
          <cell r="C15">
            <v>2039045179</v>
          </cell>
          <cell r="D15">
            <v>2039045179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18219204</v>
          </cell>
          <cell r="D18">
            <v>18219204</v>
          </cell>
        </row>
        <row r="19">
          <cell r="B19" t="str">
            <v>Муддатли депозитлар бўйича фоизли харажатлар</v>
          </cell>
          <cell r="C19">
            <v>667824185</v>
          </cell>
          <cell r="D19">
            <v>667824185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41618869</v>
          </cell>
          <cell r="D21">
            <v>41618869</v>
          </cell>
        </row>
        <row r="22">
          <cell r="B22" t="str">
            <v>Жами депозитлар бўйича фоизли харажатлар</v>
          </cell>
          <cell r="C22">
            <v>727662258</v>
          </cell>
          <cell r="D22">
            <v>727662258</v>
          </cell>
        </row>
        <row r="23">
          <cell r="B23" t="str">
            <v>Кредитлар бўйича фоизли харажатлар</v>
          </cell>
          <cell r="C23">
            <v>228047909</v>
          </cell>
          <cell r="D23">
            <v>228047909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</row>
        <row r="25">
          <cell r="B25" t="str">
            <v>Бошқа фоизли харажатлар</v>
          </cell>
          <cell r="C25">
            <v>24117550</v>
          </cell>
          <cell r="D25">
            <v>24117550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252165459</v>
          </cell>
          <cell r="D26">
            <v>252165459</v>
          </cell>
        </row>
        <row r="27">
          <cell r="B27" t="str">
            <v>Жами фоизли харажатлар</v>
          </cell>
          <cell r="C27">
            <v>979827717</v>
          </cell>
          <cell r="D27">
            <v>979827717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1059217462</v>
          </cell>
          <cell r="D29">
            <v>1059217462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459583994</v>
          </cell>
          <cell r="D30">
            <v>459583994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64312956</v>
          </cell>
          <cell r="D33">
            <v>64312956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535320512</v>
          </cell>
          <cell r="D34">
            <v>535320512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208668117</v>
          </cell>
          <cell r="D37">
            <v>208668117</v>
          </cell>
        </row>
        <row r="38">
          <cell r="B38" t="str">
            <v>Хорижий валюталардаги фойда</v>
          </cell>
          <cell r="C38">
            <v>61326919</v>
          </cell>
          <cell r="D38">
            <v>61326919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190000</v>
          </cell>
          <cell r="D40">
            <v>190000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135368757</v>
          </cell>
          <cell r="D41">
            <v>135368757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73891171</v>
          </cell>
          <cell r="D42">
            <v>73891171</v>
          </cell>
        </row>
        <row r="43">
          <cell r="B43" t="str">
            <v>Бошқа фоизсиз даромадлар</v>
          </cell>
          <cell r="C43">
            <v>0</v>
          </cell>
          <cell r="D43">
            <v>0</v>
          </cell>
        </row>
        <row r="44">
          <cell r="B44" t="str">
            <v>Жами фоизсиз даромадлар</v>
          </cell>
          <cell r="C44">
            <v>479444964</v>
          </cell>
          <cell r="D44">
            <v>479444964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376511227</v>
          </cell>
          <cell r="D47">
            <v>376511227</v>
          </cell>
        </row>
        <row r="48">
          <cell r="B48" t="str">
            <v>Хорижий валютада кўрилган зарарлар</v>
          </cell>
          <cell r="C48">
            <v>97331829</v>
          </cell>
          <cell r="D48">
            <v>97331829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149959</v>
          </cell>
          <cell r="D51">
            <v>149959</v>
          </cell>
        </row>
        <row r="52">
          <cell r="B52" t="str">
            <v>Жами фоизсиз харажатлар</v>
          </cell>
          <cell r="C52">
            <v>473993015</v>
          </cell>
          <cell r="D52">
            <v>473993015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540772461</v>
          </cell>
          <cell r="D54">
            <v>540772461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207636321</v>
          </cell>
          <cell r="D57">
            <v>207636321</v>
          </cell>
        </row>
        <row r="58">
          <cell r="B58" t="str">
            <v xml:space="preserve">шундан, раҳбар ходимларга тўловлар </v>
          </cell>
          <cell r="C58">
            <v>19315870</v>
          </cell>
          <cell r="D58">
            <v>19315870</v>
          </cell>
        </row>
        <row r="59">
          <cell r="B59" t="str">
            <v>Ижара ва таъминот харажатлари</v>
          </cell>
          <cell r="C59">
            <v>15327640</v>
          </cell>
          <cell r="D59">
            <v>15327640</v>
          </cell>
        </row>
        <row r="60">
          <cell r="B60" t="str">
            <v>Хизмат сафари ва транспорт харажатлари</v>
          </cell>
          <cell r="C60">
            <v>1282729</v>
          </cell>
          <cell r="D60">
            <v>1282729</v>
          </cell>
        </row>
        <row r="61">
          <cell r="B61" t="str">
            <v>Маъмурий харажатлар</v>
          </cell>
          <cell r="C61">
            <v>73838257</v>
          </cell>
          <cell r="D61">
            <v>73838257</v>
          </cell>
        </row>
        <row r="62">
          <cell r="B62" t="str">
            <v>Репрезентация ва хайрия</v>
          </cell>
          <cell r="C62">
            <v>55055039</v>
          </cell>
          <cell r="D62">
            <v>55055039</v>
          </cell>
        </row>
        <row r="63">
          <cell r="B63" t="str">
            <v>Эскириш харажатлари</v>
          </cell>
          <cell r="C63">
            <v>29957849</v>
          </cell>
          <cell r="D63">
            <v>29957849</v>
          </cell>
        </row>
        <row r="64">
          <cell r="B64" t="str">
            <v>Суғурта харажатлари</v>
          </cell>
          <cell r="C64">
            <v>183030</v>
          </cell>
          <cell r="D64">
            <v>183030</v>
          </cell>
        </row>
        <row r="65">
          <cell r="B65" t="str">
            <v>Солиқлар (фойда солиғидан ташқари) ва лицензиялар</v>
          </cell>
          <cell r="C65">
            <v>2664967</v>
          </cell>
          <cell r="D65">
            <v>2664967</v>
          </cell>
        </row>
        <row r="66">
          <cell r="B66" t="str">
            <v>Жарима ва пенялар</v>
          </cell>
          <cell r="C66">
            <v>1015529</v>
          </cell>
          <cell r="D66">
            <v>1015529</v>
          </cell>
        </row>
        <row r="67">
          <cell r="B67" t="str">
            <v>Бошқа операцион харажатлар</v>
          </cell>
          <cell r="C67">
            <v>6864430</v>
          </cell>
          <cell r="D67">
            <v>6864430</v>
          </cell>
        </row>
        <row r="68">
          <cell r="B68" t="str">
            <v>Жами операцион харажатлар</v>
          </cell>
          <cell r="C68">
            <v>393825791</v>
          </cell>
          <cell r="D68">
            <v>393825791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146946670</v>
          </cell>
          <cell r="D70">
            <v>146946670</v>
          </cell>
        </row>
        <row r="71">
          <cell r="B71" t="str">
            <v>Фойда солиғини баҳолаш</v>
          </cell>
          <cell r="C71">
            <v>45910140</v>
          </cell>
          <cell r="D71">
            <v>45910140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101036530</v>
          </cell>
          <cell r="D73">
            <v>101036530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101036530</v>
          </cell>
          <cell r="D77">
            <v>101036530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4">
        <row r="7">
          <cell r="I7">
            <v>0.19979792328517124</v>
          </cell>
        </row>
        <row r="9">
          <cell r="I9">
            <v>0.18505086481556174</v>
          </cell>
        </row>
        <row r="11">
          <cell r="I11">
            <v>0.18505086481556174</v>
          </cell>
        </row>
        <row r="13">
          <cell r="I13">
            <v>0.17199016609325762</v>
          </cell>
        </row>
        <row r="16">
          <cell r="I16">
            <v>0.19295335513133582</v>
          </cell>
        </row>
        <row r="18">
          <cell r="I18">
            <v>1.9143673801804102</v>
          </cell>
        </row>
        <row r="21">
          <cell r="I21">
            <v>1.2365231931509131</v>
          </cell>
        </row>
      </sheetData>
      <sheetData sheetId="5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305675834</v>
          </cell>
          <cell r="D5">
            <v>123490975</v>
          </cell>
          <cell r="E5">
            <v>182184859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1072550858</v>
          </cell>
          <cell r="D6">
            <v>763746114</v>
          </cell>
          <cell r="E6">
            <v>308804744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259968340</v>
          </cell>
          <cell r="D7">
            <v>167811579</v>
          </cell>
          <cell r="E7">
            <v>92156761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259968340</v>
          </cell>
          <cell r="D8">
            <v>167811579</v>
          </cell>
          <cell r="E8">
            <v>92156761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/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153457272</v>
          </cell>
          <cell r="D10">
            <v>99497103</v>
          </cell>
          <cell r="E10">
            <v>53960169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152059091</v>
          </cell>
          <cell r="D11">
            <v>100000000</v>
          </cell>
          <cell r="E11">
            <v>52059091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1398181</v>
          </cell>
          <cell r="D12">
            <v>-502897</v>
          </cell>
          <cell r="E12">
            <v>1901078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330210527</v>
          </cell>
          <cell r="D17">
            <v>330210527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332600000</v>
          </cell>
          <cell r="D18">
            <v>332600000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-2389473</v>
          </cell>
          <cell r="D19">
            <v>-2389473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600873732</v>
          </cell>
          <cell r="D21">
            <v>600873732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600873732</v>
          </cell>
          <cell r="D22">
            <v>600873732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3733537397</v>
          </cell>
          <cell r="D24">
            <v>1339456108</v>
          </cell>
          <cell r="E24">
            <v>2394081289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3782859064</v>
          </cell>
          <cell r="D25">
            <v>1387263333</v>
          </cell>
          <cell r="E25">
            <v>2395595731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49321667</v>
          </cell>
          <cell r="D26">
            <v>47807225</v>
          </cell>
          <cell r="E26">
            <v>1514442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536289628</v>
          </cell>
          <cell r="D30">
            <v>536289628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50522897</v>
          </cell>
          <cell r="D31">
            <v>36501024</v>
          </cell>
          <cell r="E31">
            <v>14021873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58632386</v>
          </cell>
          <cell r="D32">
            <v>44573179</v>
          </cell>
          <cell r="E32">
            <v>14059207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2267112</v>
          </cell>
          <cell r="D33">
            <v>2267112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10376601</v>
          </cell>
          <cell r="D34">
            <v>10339267</v>
          </cell>
          <cell r="E34">
            <v>37334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34023223</v>
          </cell>
          <cell r="D35">
            <v>34023223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23209274</v>
          </cell>
          <cell r="D36">
            <v>23209274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10813949</v>
          </cell>
          <cell r="D37">
            <v>10813949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>
            <v>0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38157879</v>
          </cell>
          <cell r="D39">
            <v>38157879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35467420</v>
          </cell>
          <cell r="D40">
            <v>35467420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2428033</v>
          </cell>
          <cell r="D41">
            <v>2428033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262426</v>
          </cell>
          <cell r="D42">
            <v>262426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199147759</v>
          </cell>
          <cell r="D43">
            <v>194699688</v>
          </cell>
          <cell r="E43">
            <v>4448071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204006857</v>
          </cell>
          <cell r="D44">
            <v>199558786</v>
          </cell>
          <cell r="E44">
            <v>4448071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4859098</v>
          </cell>
          <cell r="D45">
            <v>4859098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7238099588</v>
          </cell>
          <cell r="D47">
            <v>4188441822</v>
          </cell>
          <cell r="E47">
            <v>3049657766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616642004</v>
          </cell>
          <cell r="D50">
            <v>496035767</v>
          </cell>
          <cell r="E50">
            <v>120606237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2030856954</v>
          </cell>
          <cell r="D51">
            <v>2029276210</v>
          </cell>
          <cell r="E51">
            <v>1580744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84018474</v>
          </cell>
          <cell r="D52">
            <v>84018474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2779646136</v>
          </cell>
          <cell r="D53">
            <v>3271798</v>
          </cell>
          <cell r="E53">
            <v>2776374338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25858080</v>
          </cell>
          <cell r="D55">
            <v>549820</v>
          </cell>
          <cell r="E55">
            <v>25308260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151058938</v>
          </cell>
          <cell r="D58">
            <v>18028122</v>
          </cell>
          <cell r="E58">
            <v>133030816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1856246</v>
          </cell>
          <cell r="D59">
            <v>1856246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3226999</v>
          </cell>
          <cell r="D61">
            <v>3226999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235906212</v>
          </cell>
          <cell r="D62">
            <v>224653734</v>
          </cell>
          <cell r="E62">
            <v>11252478</v>
          </cell>
        </row>
        <row r="63">
          <cell r="A63" t="str">
            <v>29</v>
          </cell>
          <cell r="B63" t="str">
            <v>Жами мажбуриятлар</v>
          </cell>
          <cell r="C63">
            <v>5929070043</v>
          </cell>
          <cell r="D63">
            <v>2860917170</v>
          </cell>
          <cell r="E63">
            <v>3068152873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1149000000</v>
          </cell>
          <cell r="D67">
            <v>1149000000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1149000000</v>
          </cell>
          <cell r="D68">
            <v>1149000000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8452756</v>
          </cell>
          <cell r="D71">
            <v>8452756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6475167</v>
          </cell>
          <cell r="D72">
            <v>6475167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1977589</v>
          </cell>
          <cell r="D74">
            <v>1977589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151576789</v>
          </cell>
          <cell r="D75">
            <v>151576789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3839902</v>
          </cell>
          <cell r="D76">
            <v>3839902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1309029545</v>
          </cell>
          <cell r="D77">
            <v>1309029545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7238099588</v>
          </cell>
          <cell r="D78">
            <v>4169946715</v>
          </cell>
          <cell r="E78">
            <v>3068152873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C86">
            <v>0</v>
          </cell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41163808</v>
          </cell>
          <cell r="D6">
            <v>41163808</v>
          </cell>
        </row>
        <row r="7">
          <cell r="B7" t="str">
            <v>Бошқа банклардаги ҳисобварақлар бўйича фоизли даромадлар</v>
          </cell>
          <cell r="C7">
            <v>6848308</v>
          </cell>
          <cell r="D7">
            <v>6848308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37732360</v>
          </cell>
          <cell r="D8">
            <v>37732360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5156231</v>
          </cell>
          <cell r="D9">
            <v>5156231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327856542</v>
          </cell>
          <cell r="D12">
            <v>327856542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14399332</v>
          </cell>
          <cell r="D13">
            <v>14399332</v>
          </cell>
        </row>
        <row r="14">
          <cell r="B14" t="str">
            <v>Бошқа фоизли даромадлар</v>
          </cell>
          <cell r="C14">
            <v>0</v>
          </cell>
          <cell r="D14">
            <v>0</v>
          </cell>
        </row>
        <row r="15">
          <cell r="B15" t="str">
            <v>Жами фоизли даромадлар</v>
          </cell>
          <cell r="C15">
            <v>433156581</v>
          </cell>
          <cell r="D15">
            <v>433156581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3695494</v>
          </cell>
          <cell r="D18">
            <v>3695494</v>
          </cell>
        </row>
        <row r="19">
          <cell r="B19" t="str">
            <v>Муддатли депозитлар бўйича фоизли харажатлар</v>
          </cell>
          <cell r="C19">
            <v>198573068</v>
          </cell>
          <cell r="D19">
            <v>198573068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92118112</v>
          </cell>
          <cell r="D21">
            <v>92118112</v>
          </cell>
        </row>
        <row r="22">
          <cell r="B22" t="str">
            <v>Жами депозитлар бўйича фоизли харажатлар</v>
          </cell>
          <cell r="C22">
            <v>294386674</v>
          </cell>
          <cell r="D22">
            <v>294386674</v>
          </cell>
        </row>
        <row r="23">
          <cell r="B23" t="str">
            <v>Кредитлар бўйича фоизли харажатлар</v>
          </cell>
          <cell r="C23">
            <v>280069</v>
          </cell>
          <cell r="D23">
            <v>280069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</row>
        <row r="25">
          <cell r="B25" t="str">
            <v>Бошқа фоизли харажатлар</v>
          </cell>
          <cell r="C25">
            <v>799030</v>
          </cell>
          <cell r="D25">
            <v>799030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1079099</v>
          </cell>
          <cell r="D26">
            <v>1079099</v>
          </cell>
        </row>
        <row r="27">
          <cell r="B27" t="str">
            <v>Жами фоизли харажатлар</v>
          </cell>
          <cell r="C27">
            <v>295465773</v>
          </cell>
          <cell r="D27">
            <v>295465773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137690808</v>
          </cell>
          <cell r="D29">
            <v>137690808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77510815</v>
          </cell>
          <cell r="D30">
            <v>77510815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17392388</v>
          </cell>
          <cell r="D33">
            <v>17392388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42787605</v>
          </cell>
          <cell r="D34">
            <v>42787605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27879123</v>
          </cell>
          <cell r="D37">
            <v>27879123</v>
          </cell>
        </row>
        <row r="38">
          <cell r="B38" t="str">
            <v>Хорижий валюталардаги фойда</v>
          </cell>
          <cell r="C38">
            <v>84085590</v>
          </cell>
          <cell r="D38">
            <v>84085590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1495446</v>
          </cell>
          <cell r="D40">
            <v>1495446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95325332</v>
          </cell>
          <cell r="D41">
            <v>95325332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>
            <v>0</v>
          </cell>
        </row>
        <row r="43">
          <cell r="B43" t="str">
            <v>Бошқа фоизсиз даромадлар</v>
          </cell>
          <cell r="C43">
            <v>330629</v>
          </cell>
          <cell r="D43">
            <v>330629</v>
          </cell>
        </row>
        <row r="44">
          <cell r="B44" t="str">
            <v>Жами фоизсиз даромадлар</v>
          </cell>
          <cell r="C44">
            <v>209116120</v>
          </cell>
          <cell r="D44">
            <v>209116120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41676527</v>
          </cell>
          <cell r="D47">
            <v>41676527</v>
          </cell>
        </row>
        <row r="48">
          <cell r="B48" t="str">
            <v>Хорижий валютада кўрилган зарарлар</v>
          </cell>
          <cell r="C48">
            <v>24603511</v>
          </cell>
          <cell r="D48">
            <v>24603511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428092</v>
          </cell>
          <cell r="D51">
            <v>428092</v>
          </cell>
        </row>
        <row r="52">
          <cell r="B52" t="str">
            <v>Жами фоизсиз харажатлар</v>
          </cell>
          <cell r="C52">
            <v>66708130</v>
          </cell>
          <cell r="D52">
            <v>66708130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185195595</v>
          </cell>
          <cell r="D54">
            <v>185195595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88250981</v>
          </cell>
          <cell r="D57">
            <v>88250981</v>
          </cell>
        </row>
        <row r="58">
          <cell r="B58" t="str">
            <v xml:space="preserve">шундан, раҳбар ходимларга тўловлар </v>
          </cell>
          <cell r="C58">
            <v>450077</v>
          </cell>
          <cell r="D58">
            <v>450077</v>
          </cell>
        </row>
        <row r="59">
          <cell r="B59" t="str">
            <v>Ижара ва таъминот харажатлари</v>
          </cell>
          <cell r="C59">
            <v>24970403</v>
          </cell>
          <cell r="D59">
            <v>24970403</v>
          </cell>
        </row>
        <row r="60">
          <cell r="B60" t="str">
            <v>Хизмат сафари ва транспорт харажатлари</v>
          </cell>
          <cell r="C60">
            <v>1130922</v>
          </cell>
          <cell r="D60">
            <v>1130922</v>
          </cell>
        </row>
        <row r="61">
          <cell r="B61" t="str">
            <v>Маъмурий харажатлар</v>
          </cell>
          <cell r="C61">
            <v>7628993</v>
          </cell>
          <cell r="D61">
            <v>7628993</v>
          </cell>
        </row>
        <row r="62">
          <cell r="B62" t="str">
            <v>Репрезентация ва хайрия</v>
          </cell>
          <cell r="C62">
            <v>6821482</v>
          </cell>
          <cell r="D62">
            <v>6821482</v>
          </cell>
        </row>
        <row r="63">
          <cell r="B63" t="str">
            <v>Эскириш харажатлари</v>
          </cell>
          <cell r="C63">
            <v>26153465</v>
          </cell>
          <cell r="D63">
            <v>26153465</v>
          </cell>
        </row>
        <row r="64">
          <cell r="B64" t="str">
            <v>Суғурта харажатлари</v>
          </cell>
          <cell r="C64">
            <v>5205601</v>
          </cell>
          <cell r="D64">
            <v>5205601</v>
          </cell>
        </row>
        <row r="65">
          <cell r="B65" t="str">
            <v>Солиқлар (фойда солиғидан ташқари) ва лицензиялар</v>
          </cell>
          <cell r="C65">
            <v>6322733</v>
          </cell>
          <cell r="D65">
            <v>6322733</v>
          </cell>
        </row>
        <row r="66">
          <cell r="B66" t="str">
            <v>Жарима ва пенялар</v>
          </cell>
          <cell r="C66">
            <v>100233</v>
          </cell>
          <cell r="D66">
            <v>100233</v>
          </cell>
        </row>
        <row r="67">
          <cell r="B67" t="str">
            <v>Бошқа операцион харажатлар</v>
          </cell>
          <cell r="C67">
            <v>6357225</v>
          </cell>
          <cell r="D67">
            <v>6357225</v>
          </cell>
        </row>
        <row r="68">
          <cell r="B68" t="str">
            <v>Жами операцион харажатлар</v>
          </cell>
          <cell r="C68">
            <v>172942038</v>
          </cell>
          <cell r="D68">
            <v>172942038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12253557</v>
          </cell>
          <cell r="D70">
            <v>12253557</v>
          </cell>
        </row>
        <row r="71">
          <cell r="B71" t="str">
            <v>Фойда солиғини баҳолаш</v>
          </cell>
          <cell r="C71">
            <v>8413655</v>
          </cell>
          <cell r="D71">
            <v>8413655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3839902</v>
          </cell>
          <cell r="D73">
            <v>3839902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3839902</v>
          </cell>
          <cell r="D77">
            <v>3839902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1072550858</v>
          </cell>
        </row>
        <row r="9">
          <cell r="C9">
            <v>31697690</v>
          </cell>
          <cell r="E9">
            <v>145000000</v>
          </cell>
          <cell r="G9">
            <v>0</v>
          </cell>
        </row>
      </sheetData>
      <sheetData sheetId="3"/>
      <sheetData sheetId="4">
        <row r="7">
          <cell r="I7">
            <v>0.21749166734789949</v>
          </cell>
        </row>
        <row r="9">
          <cell r="I9">
            <v>0.20988946614831241</v>
          </cell>
        </row>
        <row r="11">
          <cell r="I11">
            <v>0.20988946614831241</v>
          </cell>
        </row>
        <row r="13">
          <cell r="I13">
            <v>0.16487776170225965</v>
          </cell>
        </row>
        <row r="16">
          <cell r="I16">
            <v>0.30828404139387755</v>
          </cell>
        </row>
        <row r="18">
          <cell r="I18">
            <v>3.7809479799234182</v>
          </cell>
        </row>
        <row r="21">
          <cell r="I21">
            <v>1.422127125384963</v>
          </cell>
        </row>
      </sheetData>
      <sheetData sheetId="5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  <sheetName val="Лист6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1118175271</v>
          </cell>
          <cell r="D5">
            <v>385289560</v>
          </cell>
          <cell r="E5">
            <v>732885711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1763764867</v>
          </cell>
          <cell r="D6">
            <v>956289386</v>
          </cell>
          <cell r="E6">
            <v>807475481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271032957</v>
          </cell>
          <cell r="D7">
            <v>71653518</v>
          </cell>
          <cell r="E7">
            <v>199379439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271042241</v>
          </cell>
          <cell r="D8">
            <v>71653518</v>
          </cell>
          <cell r="E8">
            <v>199388723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9284</v>
          </cell>
          <cell r="D9">
            <v>0</v>
          </cell>
          <cell r="E9">
            <v>9284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1930320134</v>
          </cell>
          <cell r="D10">
            <v>1930320134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1998624035</v>
          </cell>
          <cell r="D11">
            <v>1998624035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-68303901</v>
          </cell>
          <cell r="D12">
            <v>-68303901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43</v>
          </cell>
          <cell r="D14">
            <v>43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43</v>
          </cell>
          <cell r="D15">
            <v>43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485150000</v>
          </cell>
          <cell r="D17">
            <v>485150000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485150000</v>
          </cell>
          <cell r="D18">
            <v>485150000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6264424657</v>
          </cell>
          <cell r="D24">
            <v>5235529946</v>
          </cell>
          <cell r="E24">
            <v>1028894711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6384284776</v>
          </cell>
          <cell r="D25">
            <v>5348222260</v>
          </cell>
          <cell r="E25">
            <v>1036062516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119860119</v>
          </cell>
          <cell r="D26">
            <v>112692314</v>
          </cell>
          <cell r="E26">
            <v>7167805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581321937</v>
          </cell>
          <cell r="D30">
            <v>581321937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157046710</v>
          </cell>
          <cell r="D31">
            <v>151968540</v>
          </cell>
          <cell r="E31">
            <v>5078170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169890060</v>
          </cell>
          <cell r="D32">
            <v>164665553</v>
          </cell>
          <cell r="E32">
            <v>5224507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24867138</v>
          </cell>
          <cell r="D33">
            <v>23991097</v>
          </cell>
          <cell r="E33">
            <v>876041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37710488</v>
          </cell>
          <cell r="D34">
            <v>36688110</v>
          </cell>
          <cell r="E34">
            <v>1022378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48920720</v>
          </cell>
          <cell r="D35">
            <v>48920720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50141345</v>
          </cell>
          <cell r="D36">
            <v>50141345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335872</v>
          </cell>
          <cell r="D37">
            <v>335872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1556497</v>
          </cell>
          <cell r="D38">
            <v>1556497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49782843</v>
          </cell>
          <cell r="D39">
            <v>49782843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38559698</v>
          </cell>
          <cell r="D40">
            <v>38559698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9373145</v>
          </cell>
          <cell r="D41">
            <v>9373145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1850000</v>
          </cell>
          <cell r="D42">
            <v>1850000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260122550</v>
          </cell>
          <cell r="D43">
            <v>250102257</v>
          </cell>
          <cell r="E43">
            <v>10020293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264022185</v>
          </cell>
          <cell r="D44">
            <v>253998096</v>
          </cell>
          <cell r="E44">
            <v>10024089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3899635</v>
          </cell>
          <cell r="D45">
            <v>3895839</v>
          </cell>
          <cell r="E45">
            <v>3796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12830497003</v>
          </cell>
          <cell r="D47">
            <v>10046763198</v>
          </cell>
          <cell r="E47">
            <v>2783733805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5352535824</v>
          </cell>
          <cell r="D50">
            <v>4263565682</v>
          </cell>
          <cell r="E50">
            <v>1088970142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3558114886</v>
          </cell>
          <cell r="D51">
            <v>2488516386</v>
          </cell>
          <cell r="E51">
            <v>1069598500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431664</v>
          </cell>
          <cell r="D52">
            <v>431664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40207434</v>
          </cell>
          <cell r="D53">
            <v>34202481</v>
          </cell>
          <cell r="E53">
            <v>6004953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518314974</v>
          </cell>
          <cell r="D55">
            <v>167254471</v>
          </cell>
          <cell r="E55">
            <v>351060503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48105370</v>
          </cell>
          <cell r="D58">
            <v>32926421</v>
          </cell>
          <cell r="E58">
            <v>15178949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4045749</v>
          </cell>
          <cell r="D59">
            <v>4045749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148991</v>
          </cell>
          <cell r="D60">
            <v>60941</v>
          </cell>
          <cell r="E60">
            <v>88050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8520335</v>
          </cell>
          <cell r="D61">
            <v>8520335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97871072</v>
          </cell>
          <cell r="D62">
            <v>59472918</v>
          </cell>
          <cell r="E62">
            <v>38398154</v>
          </cell>
        </row>
        <row r="63">
          <cell r="A63" t="str">
            <v>29</v>
          </cell>
          <cell r="B63" t="str">
            <v>Жами мажбуриятлар</v>
          </cell>
          <cell r="C63">
            <v>9628296299</v>
          </cell>
          <cell r="D63">
            <v>7058997048</v>
          </cell>
          <cell r="E63">
            <v>2569299251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1000250000</v>
          </cell>
          <cell r="D67">
            <v>1000250000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1000227000</v>
          </cell>
          <cell r="D68">
            <v>1000227000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23000</v>
          </cell>
          <cell r="D69">
            <v>23000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517724283</v>
          </cell>
          <cell r="D70">
            <v>517724283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311203901</v>
          </cell>
          <cell r="D71">
            <v>311203901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287169572</v>
          </cell>
          <cell r="D72">
            <v>287169572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24034329</v>
          </cell>
          <cell r="D74">
            <v>24034329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1373022520</v>
          </cell>
          <cell r="D75">
            <v>1373022520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402347836</v>
          </cell>
          <cell r="D76">
            <v>402347836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3202200704</v>
          </cell>
          <cell r="D77">
            <v>3202200704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12830497003</v>
          </cell>
          <cell r="D78">
            <v>10261197752</v>
          </cell>
          <cell r="E78">
            <v>2569299251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C86">
            <v>0</v>
          </cell>
        </row>
      </sheetData>
      <sheetData sheetId="1">
        <row r="7">
          <cell r="C7">
            <v>1023764867</v>
          </cell>
        </row>
        <row r="9">
          <cell r="C9">
            <v>71697862</v>
          </cell>
          <cell r="E9">
            <v>0</v>
          </cell>
          <cell r="G9">
            <v>0</v>
          </cell>
        </row>
      </sheetData>
      <sheetData sheetId="2"/>
      <sheetData sheetId="3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35266849</v>
          </cell>
        </row>
        <row r="7">
          <cell r="B7" t="str">
            <v>Бошқа банклардаги ҳисобварақлар бўйича фоизли даромадлар</v>
          </cell>
          <cell r="C7">
            <v>14721632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12564678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133793616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672411854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158023919</v>
          </cell>
        </row>
        <row r="15">
          <cell r="B15" t="str">
            <v>Жами фоизли даромадлар</v>
          </cell>
          <cell r="C15">
            <v>1026782548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12315</v>
          </cell>
        </row>
        <row r="19">
          <cell r="B19" t="str">
            <v>Муддатли депозитлар бўйича фоизли харажатлар</v>
          </cell>
          <cell r="C19">
            <v>260689283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2686862</v>
          </cell>
        </row>
        <row r="22">
          <cell r="B22" t="str">
            <v>Жами депозитлар бўйича фоизли харажатлар</v>
          </cell>
          <cell r="C22">
            <v>263388460</v>
          </cell>
        </row>
        <row r="23">
          <cell r="B23" t="str">
            <v>Кредитлар бўйича фоизли харажатлар</v>
          </cell>
          <cell r="C23">
            <v>12005652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516912</v>
          </cell>
        </row>
        <row r="25">
          <cell r="B25" t="str">
            <v>Бошқа фоизли харажатлар</v>
          </cell>
          <cell r="C25">
            <v>158030586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170553150</v>
          </cell>
        </row>
        <row r="27">
          <cell r="B27" t="str">
            <v>Жами фоизли харажатлар</v>
          </cell>
          <cell r="C27">
            <v>433941610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592840938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84515467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17576254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490749217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208342152</v>
          </cell>
        </row>
        <row r="38">
          <cell r="B38" t="str">
            <v>Хорижий валюталардаги фойда</v>
          </cell>
          <cell r="C38">
            <v>140971948</v>
          </cell>
        </row>
        <row r="39">
          <cell r="B39" t="str">
            <v>Тижорат операцияларидан олинган фойда</v>
          </cell>
          <cell r="C39">
            <v>34603148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1440278</v>
          </cell>
        </row>
        <row r="43">
          <cell r="B43" t="str">
            <v>Бошқа фоизсиз даромадлар</v>
          </cell>
          <cell r="C43">
            <v>73682603</v>
          </cell>
        </row>
        <row r="44">
          <cell r="B44" t="str">
            <v>Жами фоизсиз даромадлар</v>
          </cell>
          <cell r="C44">
            <v>459040129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62524849</v>
          </cell>
        </row>
        <row r="48">
          <cell r="B48" t="str">
            <v>Хорижий валютада кўрилган зарарлар</v>
          </cell>
          <cell r="C48">
            <v>66865148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12608682</v>
          </cell>
        </row>
        <row r="52">
          <cell r="B52" t="str">
            <v>Жами фоизсиз харажатлар</v>
          </cell>
          <cell r="C52">
            <v>141998679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807790667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211935058</v>
          </cell>
        </row>
        <row r="58">
          <cell r="B58" t="str">
            <v xml:space="preserve">шундан, раҳбар ходимларга тўловлар </v>
          </cell>
          <cell r="C58">
            <v>15796282</v>
          </cell>
        </row>
        <row r="59">
          <cell r="B59" t="str">
            <v>Ижара ва таъминот харажатлари</v>
          </cell>
          <cell r="C59">
            <v>56151165</v>
          </cell>
        </row>
        <row r="60">
          <cell r="B60" t="str">
            <v>Хизмат сафари ва транспорт харажатлари</v>
          </cell>
          <cell r="C60">
            <v>3694862</v>
          </cell>
        </row>
        <row r="61">
          <cell r="B61" t="str">
            <v>Маъмурий харажатлар</v>
          </cell>
          <cell r="C61">
            <v>14047614</v>
          </cell>
        </row>
        <row r="62">
          <cell r="B62" t="str">
            <v>Репрезентация ва хайрия</v>
          </cell>
          <cell r="C62">
            <v>13414139</v>
          </cell>
        </row>
        <row r="63">
          <cell r="B63" t="str">
            <v>Эскириш харажатлари</v>
          </cell>
          <cell r="C63">
            <v>35617970</v>
          </cell>
        </row>
        <row r="64">
          <cell r="B64" t="str">
            <v>Суғурта харажатлари</v>
          </cell>
          <cell r="C64">
            <v>116860</v>
          </cell>
        </row>
        <row r="65">
          <cell r="B65" t="str">
            <v>Солиқлар (фойда солиғидан ташқари) ва лицензиялар</v>
          </cell>
          <cell r="C65">
            <v>2928732</v>
          </cell>
        </row>
        <row r="66">
          <cell r="B66" t="str">
            <v>Жарима ва пенялар</v>
          </cell>
          <cell r="C66">
            <v>164038</v>
          </cell>
        </row>
        <row r="67">
          <cell r="B67" t="str">
            <v>Бошқа операцион харажатлар</v>
          </cell>
          <cell r="C67">
            <v>6967923</v>
          </cell>
        </row>
        <row r="68">
          <cell r="B68" t="str">
            <v>Жами операцион харажатлар</v>
          </cell>
          <cell r="C68">
            <v>345038361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462752306</v>
          </cell>
        </row>
        <row r="71">
          <cell r="B71" t="str">
            <v>Фойда солиғини баҳолаш</v>
          </cell>
          <cell r="C71">
            <v>60404470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402347836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402347836</v>
          </cell>
        </row>
      </sheetData>
      <sheetData sheetId="4">
        <row r="7">
          <cell r="I7">
            <v>0.23550949697581874</v>
          </cell>
        </row>
        <row r="9">
          <cell r="I9">
            <v>0.19722622212765428</v>
          </cell>
        </row>
        <row r="11">
          <cell r="I11">
            <v>0.19722435286041534</v>
          </cell>
        </row>
        <row r="13">
          <cell r="I13">
            <v>0.17677835965944064</v>
          </cell>
        </row>
        <row r="16">
          <cell r="I16">
            <v>0.37279898088761509</v>
          </cell>
        </row>
        <row r="18">
          <cell r="I18">
            <v>3.4879766374042829</v>
          </cell>
        </row>
        <row r="21">
          <cell r="I21">
            <v>1.366341941823134</v>
          </cell>
        </row>
      </sheetData>
      <sheetData sheetId="5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471114789</v>
          </cell>
          <cell r="D5">
            <v>206779033</v>
          </cell>
          <cell r="E5">
            <v>264335756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417470023</v>
          </cell>
          <cell r="D6">
            <v>417458520</v>
          </cell>
          <cell r="E6">
            <v>11503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1382836002</v>
          </cell>
          <cell r="D7">
            <v>411772344</v>
          </cell>
          <cell r="E7">
            <v>971063658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1382836002</v>
          </cell>
          <cell r="D8">
            <v>411772344</v>
          </cell>
          <cell r="E8">
            <v>971063658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396351804</v>
          </cell>
          <cell r="D10">
            <v>396351804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410000000</v>
          </cell>
          <cell r="D11">
            <v>410000000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-13648196</v>
          </cell>
          <cell r="D12">
            <v>-13648196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934</v>
          </cell>
          <cell r="D14">
            <v>934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934</v>
          </cell>
          <cell r="D15">
            <v>934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889228679</v>
          </cell>
          <cell r="D17">
            <v>889228679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889228679</v>
          </cell>
          <cell r="D18">
            <v>889228679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282189717</v>
          </cell>
          <cell r="D21">
            <v>282189717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282189717</v>
          </cell>
          <cell r="D22">
            <v>282189717</v>
          </cell>
          <cell r="E22"/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13029213179</v>
          </cell>
          <cell r="D24">
            <v>5927219629</v>
          </cell>
          <cell r="E24">
            <v>7101993550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13180568094</v>
          </cell>
          <cell r="D25">
            <v>6021208847</v>
          </cell>
          <cell r="E25">
            <v>7159359247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151354915</v>
          </cell>
          <cell r="D26">
            <v>93989218</v>
          </cell>
          <cell r="E26">
            <v>57365697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52478337</v>
          </cell>
          <cell r="D27">
            <v>0</v>
          </cell>
          <cell r="E27">
            <v>52478337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52478337</v>
          </cell>
          <cell r="D28">
            <v>0</v>
          </cell>
          <cell r="E28">
            <v>52478337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485356291</v>
          </cell>
          <cell r="D30">
            <v>485356291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932475762</v>
          </cell>
          <cell r="D31">
            <v>664953152</v>
          </cell>
          <cell r="E31">
            <v>267522610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942976347</v>
          </cell>
          <cell r="D32">
            <v>674467469</v>
          </cell>
          <cell r="E32">
            <v>268508878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15817017</v>
          </cell>
          <cell r="D33">
            <v>14445212</v>
          </cell>
          <cell r="E33">
            <v>1371805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26317602</v>
          </cell>
          <cell r="D34">
            <v>23959529</v>
          </cell>
          <cell r="E34">
            <v>2358073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554978743</v>
          </cell>
          <cell r="D35">
            <v>554978743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413039567</v>
          </cell>
          <cell r="D36">
            <v>413039567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143829454</v>
          </cell>
          <cell r="D37">
            <v>143829454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1890278</v>
          </cell>
          <cell r="D38">
            <v>1890278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98813766</v>
          </cell>
          <cell r="D39">
            <v>98813766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87590755</v>
          </cell>
          <cell r="D40">
            <v>87590755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8379019</v>
          </cell>
          <cell r="D41">
            <v>8379019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2843992</v>
          </cell>
          <cell r="D42">
            <v>2843992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248234211</v>
          </cell>
          <cell r="D43">
            <v>189916121</v>
          </cell>
          <cell r="E43">
            <v>58318090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263526676</v>
          </cell>
          <cell r="D44">
            <v>204261893</v>
          </cell>
          <cell r="E44">
            <v>59264783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15292465</v>
          </cell>
          <cell r="D45">
            <v>14345772</v>
          </cell>
          <cell r="E45">
            <v>946693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19043114705</v>
          </cell>
          <cell r="D47">
            <v>10327391201</v>
          </cell>
          <cell r="E47">
            <v>8715723504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1593266454</v>
          </cell>
          <cell r="D50">
            <v>1367625272</v>
          </cell>
          <cell r="E50">
            <v>225641182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4121620324</v>
          </cell>
          <cell r="D51">
            <v>3373852875</v>
          </cell>
          <cell r="E51">
            <v>747767449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21682848</v>
          </cell>
          <cell r="D52">
            <v>21682848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1815768902</v>
          </cell>
          <cell r="D53">
            <v>970002567</v>
          </cell>
          <cell r="E53">
            <v>845766335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8994658582</v>
          </cell>
          <cell r="D55">
            <v>2128699588</v>
          </cell>
          <cell r="E55">
            <v>6865958994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127901200</v>
          </cell>
          <cell r="D57">
            <v>127901200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125338460</v>
          </cell>
          <cell r="D58">
            <v>72193895</v>
          </cell>
          <cell r="E58">
            <v>53144565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5504941</v>
          </cell>
          <cell r="D59">
            <v>5504941</v>
          </cell>
          <cell r="E59"/>
        </row>
        <row r="60">
          <cell r="A60" t="str">
            <v>26</v>
          </cell>
          <cell r="B60" t="str">
            <v>Клиринг транзакциялари</v>
          </cell>
          <cell r="C60">
            <v>231172</v>
          </cell>
          <cell r="D60">
            <v>231168</v>
          </cell>
          <cell r="E60">
            <v>4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3294882</v>
          </cell>
          <cell r="D61">
            <v>3294882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300336789</v>
          </cell>
          <cell r="D62">
            <v>251047806</v>
          </cell>
          <cell r="E62">
            <v>49288983</v>
          </cell>
        </row>
        <row r="63">
          <cell r="A63" t="str">
            <v>29</v>
          </cell>
          <cell r="B63" t="str">
            <v>Жами мажбуриятлар</v>
          </cell>
          <cell r="C63">
            <v>17109604554</v>
          </cell>
          <cell r="D63">
            <v>8322037042</v>
          </cell>
          <cell r="E63">
            <v>8787567512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1484142425</v>
          </cell>
          <cell r="D67">
            <v>1484142425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1475697675</v>
          </cell>
          <cell r="D68">
            <v>1475697675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8444750</v>
          </cell>
          <cell r="D69">
            <v>8444750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218675</v>
          </cell>
          <cell r="D70">
            <v>218675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255340975</v>
          </cell>
          <cell r="D71">
            <v>255340975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232634953</v>
          </cell>
          <cell r="D72">
            <v>232634953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22706022</v>
          </cell>
          <cell r="D74">
            <v>22706022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193808076</v>
          </cell>
          <cell r="D75">
            <v>193808076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14617851</v>
          </cell>
          <cell r="D76">
            <v>14617851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1933510151</v>
          </cell>
          <cell r="D77">
            <v>1933510151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19043114705</v>
          </cell>
          <cell r="D78">
            <v>10255547193</v>
          </cell>
          <cell r="E78">
            <v>8787567512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5607534</v>
          </cell>
        </row>
        <row r="7">
          <cell r="B7" t="str">
            <v>Бошқа банклардаги ҳисобварақлар бўйича фоизли даромадлар</v>
          </cell>
          <cell r="C7">
            <v>9427446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40554315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731433359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14448487</v>
          </cell>
        </row>
        <row r="14">
          <cell r="B14" t="str">
            <v>Бошқа фоизли даромадлар</v>
          </cell>
          <cell r="C14">
            <v>2557923</v>
          </cell>
        </row>
        <row r="15">
          <cell r="B15" t="str">
            <v>Жами фоизли даромадлар</v>
          </cell>
          <cell r="C15">
            <v>804029064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</row>
        <row r="19">
          <cell r="B19" t="str">
            <v>Муддатли депозитлар бўйича фоизли харажатлар</v>
          </cell>
          <cell r="C19">
            <v>301605581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83341452</v>
          </cell>
        </row>
        <row r="22">
          <cell r="B22" t="str">
            <v>Жами депозитлар бўйича фоизли харажатлар</v>
          </cell>
          <cell r="C22">
            <v>384947033</v>
          </cell>
        </row>
        <row r="23">
          <cell r="B23" t="str">
            <v>Кредитлар бўйича фоизли харажатлар</v>
          </cell>
          <cell r="C23">
            <v>213459007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</row>
        <row r="25">
          <cell r="B25" t="str">
            <v>Бошқа фоизли харажатлар</v>
          </cell>
          <cell r="C25">
            <v>5184504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218643511</v>
          </cell>
        </row>
        <row r="27">
          <cell r="B27" t="str">
            <v>Жами фоизли харажатлар</v>
          </cell>
          <cell r="C27">
            <v>603590544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200438520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124362146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24957877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51118497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73386634</v>
          </cell>
        </row>
        <row r="38">
          <cell r="B38" t="str">
            <v>Хорижий валюталардаги фойда</v>
          </cell>
          <cell r="C38">
            <v>45707996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7331512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58583333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52263108</v>
          </cell>
        </row>
        <row r="43">
          <cell r="B43" t="str">
            <v>Бошқа фоизсиз даромадлар</v>
          </cell>
          <cell r="C43">
            <v>7680076</v>
          </cell>
        </row>
        <row r="44">
          <cell r="B44" t="str">
            <v>Жами фоизсиз даромадлар</v>
          </cell>
          <cell r="C44">
            <v>244952659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26619250</v>
          </cell>
        </row>
        <row r="48">
          <cell r="B48" t="str">
            <v>Хорижий валютада кўрилган зарарлар</v>
          </cell>
          <cell r="C48">
            <v>18341993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1854311</v>
          </cell>
        </row>
        <row r="52">
          <cell r="B52" t="str">
            <v>Жами фоизсиз харажатлар</v>
          </cell>
          <cell r="C52">
            <v>46815554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249255602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141393359</v>
          </cell>
        </row>
        <row r="58">
          <cell r="B58" t="str">
            <v xml:space="preserve">шундан, раҳбар ходимларга тўловлар </v>
          </cell>
          <cell r="C58">
            <v>3662438</v>
          </cell>
        </row>
        <row r="59">
          <cell r="B59" t="str">
            <v>Ижара ва таъминот харажатлари</v>
          </cell>
          <cell r="C59">
            <v>28215883</v>
          </cell>
        </row>
        <row r="60">
          <cell r="B60" t="str">
            <v>Хизмат сафари ва транспорт харажатлари</v>
          </cell>
          <cell r="C60">
            <v>5436359</v>
          </cell>
        </row>
        <row r="61">
          <cell r="B61" t="str">
            <v>Маъмурий харажатлар</v>
          </cell>
          <cell r="C61">
            <v>11078908</v>
          </cell>
        </row>
        <row r="62">
          <cell r="B62" t="str">
            <v>Репрезентация ва хайрия</v>
          </cell>
          <cell r="C62">
            <v>11889570</v>
          </cell>
        </row>
        <row r="63">
          <cell r="B63" t="str">
            <v>Эскириш харажатлари</v>
          </cell>
          <cell r="C63">
            <v>24261343</v>
          </cell>
        </row>
        <row r="64">
          <cell r="B64" t="str">
            <v>Суғурта харажатлари</v>
          </cell>
          <cell r="C64">
            <v>635361</v>
          </cell>
        </row>
        <row r="65">
          <cell r="B65" t="str">
            <v>Солиқлар (фойда солиғидан ташқари) ва лицензиялар</v>
          </cell>
          <cell r="C65">
            <v>7950136</v>
          </cell>
        </row>
        <row r="66">
          <cell r="B66" t="str">
            <v>Жарима ва пенялар</v>
          </cell>
          <cell r="C66">
            <v>404647</v>
          </cell>
        </row>
        <row r="67">
          <cell r="B67" t="str">
            <v>Бошқа операцион харажатлар</v>
          </cell>
          <cell r="C67">
            <v>1853732</v>
          </cell>
        </row>
        <row r="68">
          <cell r="B68" t="str">
            <v>Жами операцион харажатлар</v>
          </cell>
          <cell r="C68">
            <v>233119298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16136304</v>
          </cell>
        </row>
        <row r="71">
          <cell r="B71" t="str">
            <v>Фойда солиғини баҳолаш</v>
          </cell>
          <cell r="C71">
            <v>1518453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14617851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14617851</v>
          </cell>
        </row>
      </sheetData>
      <sheetData sheetId="2">
        <row r="7">
          <cell r="C7">
            <v>417470023</v>
          </cell>
        </row>
        <row r="9">
          <cell r="C9">
            <v>1119426479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0.13770295721218376</v>
          </cell>
        </row>
        <row r="9">
          <cell r="I9">
            <v>0.12138847581843104</v>
          </cell>
        </row>
        <row r="11">
          <cell r="I11">
            <v>0.12083386788367059</v>
          </cell>
        </row>
        <row r="13">
          <cell r="I13">
            <v>9.4392318547666387E-2</v>
          </cell>
        </row>
        <row r="16">
          <cell r="I16">
            <v>0.12036511765578845</v>
          </cell>
        </row>
        <row r="18">
          <cell r="I18">
            <v>1.3418246803060858</v>
          </cell>
        </row>
        <row r="21">
          <cell r="I21">
            <v>1.0461467350971387</v>
          </cell>
        </row>
      </sheetData>
      <sheetData sheetId="5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Assets"/>
      <sheetName val="Liabilities"/>
      <sheetName val="Income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15941138</v>
          </cell>
          <cell r="D5">
            <v>15941138</v>
          </cell>
          <cell r="E5">
            <v>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220217787</v>
          </cell>
          <cell r="D6">
            <v>220217787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34936161</v>
          </cell>
          <cell r="D7">
            <v>19268926</v>
          </cell>
          <cell r="E7">
            <v>15667235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34936161</v>
          </cell>
          <cell r="D8">
            <v>19268926</v>
          </cell>
          <cell r="E8">
            <v>15667235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986656</v>
          </cell>
          <cell r="D10">
            <v>986656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1000000</v>
          </cell>
          <cell r="D11">
            <v>1000000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-13344</v>
          </cell>
          <cell r="D12">
            <v>-13344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470000511</v>
          </cell>
          <cell r="D24">
            <v>470000511</v>
          </cell>
          <cell r="E24">
            <v>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511299257</v>
          </cell>
          <cell r="D25">
            <v>511299257</v>
          </cell>
          <cell r="E25"/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41298746</v>
          </cell>
          <cell r="D26">
            <v>41298746</v>
          </cell>
          <cell r="E26"/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42726036</v>
          </cell>
          <cell r="D30">
            <v>42726036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32437162</v>
          </cell>
          <cell r="D31">
            <v>32437162</v>
          </cell>
          <cell r="E31">
            <v>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26695664</v>
          </cell>
          <cell r="D32">
            <v>26695664</v>
          </cell>
          <cell r="E32"/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17575908</v>
          </cell>
          <cell r="D33">
            <v>17575908</v>
          </cell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11834410</v>
          </cell>
          <cell r="D34">
            <v>11834410</v>
          </cell>
          <cell r="E34"/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8362486</v>
          </cell>
          <cell r="D36">
            <v>8362486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>
            <v>0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8362486</v>
          </cell>
          <cell r="D38">
            <v>8362486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3302460</v>
          </cell>
          <cell r="D39">
            <v>3302460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2787754</v>
          </cell>
          <cell r="D40">
            <v>2787754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439482</v>
          </cell>
          <cell r="D41">
            <v>439482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75224</v>
          </cell>
          <cell r="D42">
            <v>75224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27169196</v>
          </cell>
          <cell r="D43">
            <v>24788863</v>
          </cell>
          <cell r="E43">
            <v>2380333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27169196</v>
          </cell>
          <cell r="D44">
            <v>24788863</v>
          </cell>
          <cell r="E44">
            <v>2380333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841112187</v>
          </cell>
          <cell r="D47">
            <v>823064619</v>
          </cell>
          <cell r="E47">
            <v>18047568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190784569</v>
          </cell>
          <cell r="D50">
            <v>190781118</v>
          </cell>
          <cell r="E50">
            <v>3451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25791868</v>
          </cell>
          <cell r="D51">
            <v>11309828</v>
          </cell>
          <cell r="E51">
            <v>14482040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8632094</v>
          </cell>
          <cell r="D52">
            <v>8632094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53446140</v>
          </cell>
          <cell r="D53">
            <v>53446140</v>
          </cell>
          <cell r="E53">
            <v>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577542</v>
          </cell>
          <cell r="D58">
            <v>94032</v>
          </cell>
          <cell r="E58">
            <v>483510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4719</v>
          </cell>
          <cell r="D59">
            <v>0</v>
          </cell>
          <cell r="E59">
            <v>4719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6131702</v>
          </cell>
          <cell r="D61">
            <v>6131702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9680530</v>
          </cell>
          <cell r="D62">
            <v>9680530</v>
          </cell>
          <cell r="E62"/>
        </row>
        <row r="63">
          <cell r="A63" t="str">
            <v>29</v>
          </cell>
          <cell r="B63" t="str">
            <v>Жами мажбуриятлар</v>
          </cell>
          <cell r="C63">
            <v>295049164</v>
          </cell>
          <cell r="D63">
            <v>280075444</v>
          </cell>
          <cell r="E63">
            <v>14973720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692891531</v>
          </cell>
          <cell r="D67">
            <v>692891531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692891531</v>
          </cell>
          <cell r="D68">
            <v>692891531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2383607</v>
          </cell>
          <cell r="D70">
            <v>2383607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5580504</v>
          </cell>
          <cell r="D71">
            <v>5580504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5571124</v>
          </cell>
          <cell r="D72">
            <v>5571124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9380</v>
          </cell>
          <cell r="D74">
            <v>9380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-154792619</v>
          </cell>
          <cell r="D75">
            <v>-154792619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-1751878</v>
          </cell>
          <cell r="D76">
            <v>-1751878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546063023</v>
          </cell>
          <cell r="D77">
            <v>546063023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841112187</v>
          </cell>
          <cell r="D78">
            <v>826138467</v>
          </cell>
          <cell r="E78">
            <v>14973720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7">
          <cell r="C7">
            <v>29217787</v>
          </cell>
        </row>
        <row r="9">
          <cell r="C9">
            <v>34936161</v>
          </cell>
          <cell r="E9">
            <v>0</v>
          </cell>
          <cell r="G9">
            <v>0</v>
          </cell>
        </row>
      </sheetData>
      <sheetData sheetId="2"/>
      <sheetData sheetId="3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4966634</v>
          </cell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740418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78135788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69425</v>
          </cell>
        </row>
        <row r="15">
          <cell r="B15" t="str">
            <v>Жами фоизли даромадлар</v>
          </cell>
          <cell r="C15">
            <v>83912265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</row>
        <row r="19">
          <cell r="B19" t="str">
            <v>Муддатли депозитлар бўйича фоизли харажатлар</v>
          </cell>
          <cell r="C19">
            <v>410073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2387671</v>
          </cell>
        </row>
        <row r="22">
          <cell r="B22" t="str">
            <v>Жами депозитлар бўйича фоизли харажатлар</v>
          </cell>
          <cell r="C22">
            <v>2797744</v>
          </cell>
        </row>
        <row r="23">
          <cell r="B23" t="str">
            <v>Кредитлар бўйича фоизли харажатлар</v>
          </cell>
          <cell r="C23">
            <v>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</row>
        <row r="25">
          <cell r="B25" t="str">
            <v>Бошқа фоизли харажатлар</v>
          </cell>
          <cell r="C25">
            <v>2758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2758</v>
          </cell>
        </row>
        <row r="27">
          <cell r="B27" t="str">
            <v>Жами фоизли харажатлар</v>
          </cell>
          <cell r="C27">
            <v>2800502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81111763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48640143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18327231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14144389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68290666</v>
          </cell>
        </row>
        <row r="38">
          <cell r="B38" t="str">
            <v>Хорижий валюталардаги фойда</v>
          </cell>
          <cell r="C38">
            <v>406928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22969434</v>
          </cell>
        </row>
        <row r="43">
          <cell r="B43" t="str">
            <v>Бошқа фоизсиз даромадлар</v>
          </cell>
          <cell r="C43">
            <v>20494966</v>
          </cell>
        </row>
        <row r="44">
          <cell r="B44" t="str">
            <v>Жами фоизсиз даромадлар</v>
          </cell>
          <cell r="C44">
            <v>112161994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46235258</v>
          </cell>
        </row>
        <row r="48">
          <cell r="B48" t="str">
            <v>Хорижий валютада кўрилган зарарлар</v>
          </cell>
          <cell r="C48">
            <v>133656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6791897</v>
          </cell>
        </row>
        <row r="52">
          <cell r="B52" t="str">
            <v>Жами фоизсиз харажатлар</v>
          </cell>
          <cell r="C52">
            <v>53160811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73145572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28513631</v>
          </cell>
        </row>
        <row r="58">
          <cell r="B58" t="str">
            <v xml:space="preserve">шундан, раҳбар ходимларга тўловлар </v>
          </cell>
          <cell r="C58">
            <v>3049175</v>
          </cell>
        </row>
        <row r="59">
          <cell r="B59" t="str">
            <v>Ижара ва таъминот харажатлари</v>
          </cell>
          <cell r="C59">
            <v>7034216</v>
          </cell>
        </row>
        <row r="60">
          <cell r="B60" t="str">
            <v>Хизмат сафари ва транспорт харажатлари</v>
          </cell>
          <cell r="C60">
            <v>331103</v>
          </cell>
        </row>
        <row r="61">
          <cell r="B61" t="str">
            <v>Маъмурий харажатлар</v>
          </cell>
          <cell r="C61">
            <v>29151885</v>
          </cell>
        </row>
        <row r="62">
          <cell r="B62" t="str">
            <v>Репрезентация ва хайрия</v>
          </cell>
          <cell r="C62">
            <v>393731</v>
          </cell>
        </row>
        <row r="63">
          <cell r="B63" t="str">
            <v>Эскириш харажатлари</v>
          </cell>
          <cell r="C63">
            <v>5908819</v>
          </cell>
        </row>
        <row r="64">
          <cell r="B64" t="str">
            <v>Суғурта харажатлари</v>
          </cell>
          <cell r="C64">
            <v>6406</v>
          </cell>
        </row>
        <row r="65">
          <cell r="B65" t="str">
            <v>Солиқлар (фойда солиғидан ташқари) ва лицензиялар</v>
          </cell>
          <cell r="C65">
            <v>479756</v>
          </cell>
        </row>
        <row r="66">
          <cell r="B66" t="str">
            <v>Жарима ва пенялар</v>
          </cell>
          <cell r="C66">
            <v>210104</v>
          </cell>
        </row>
        <row r="67">
          <cell r="B67" t="str">
            <v>Бошқа операцион харажатлар</v>
          </cell>
          <cell r="C67">
            <v>2867799</v>
          </cell>
        </row>
        <row r="68">
          <cell r="B68" t="str">
            <v>Жами операцион харажатлар</v>
          </cell>
          <cell r="C68">
            <v>74897450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-1751878</v>
          </cell>
        </row>
        <row r="71">
          <cell r="B71" t="str">
            <v>Фойда солиғини баҳолаш</v>
          </cell>
          <cell r="C71">
            <v>0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-1751878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-1751878</v>
          </cell>
        </row>
      </sheetData>
      <sheetData sheetId="4">
        <row r="7">
          <cell r="I7">
            <v>0.48889894959215208</v>
          </cell>
        </row>
        <row r="9">
          <cell r="I9">
            <v>0.48059205171212871</v>
          </cell>
        </row>
        <row r="11">
          <cell r="I11">
            <v>0.48059205171212871</v>
          </cell>
        </row>
        <row r="13">
          <cell r="I13">
            <v>0.37545723038277301</v>
          </cell>
        </row>
        <row r="16">
          <cell r="I16">
            <v>0.27936840011569108</v>
          </cell>
        </row>
        <row r="18">
          <cell r="I18">
            <v>1.5449850750782195</v>
          </cell>
        </row>
        <row r="21">
          <cell r="I21">
            <v>1.4569556018148777</v>
          </cell>
        </row>
      </sheetData>
      <sheetData sheetId="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301267523</v>
          </cell>
          <cell r="D5">
            <v>153554345</v>
          </cell>
          <cell r="E5">
            <v>147713178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706675663</v>
          </cell>
          <cell r="D6">
            <v>112884464</v>
          </cell>
          <cell r="E6">
            <v>593791199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6017433</v>
          </cell>
          <cell r="D7">
            <v>170000</v>
          </cell>
          <cell r="E7">
            <v>5847433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6017433</v>
          </cell>
          <cell r="D8">
            <v>170000</v>
          </cell>
          <cell r="E8">
            <v>5847433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/>
          <cell r="E9"/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148272618</v>
          </cell>
          <cell r="D10">
            <v>148272618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150915210</v>
          </cell>
          <cell r="D11">
            <v>150915210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-2642592</v>
          </cell>
          <cell r="D12">
            <v>-2642592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26000000</v>
          </cell>
          <cell r="D17">
            <v>26000000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26000000</v>
          </cell>
          <cell r="D18">
            <v>26000000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130115579</v>
          </cell>
          <cell r="D21">
            <v>130115579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130115579</v>
          </cell>
          <cell r="D22">
            <v>130115579</v>
          </cell>
          <cell r="E22"/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/>
          <cell r="E23"/>
        </row>
        <row r="24">
          <cell r="A24">
            <v>8</v>
          </cell>
          <cell r="B24" t="str">
            <v>Кредит ва лизинг операциялари, соф</v>
          </cell>
          <cell r="C24">
            <v>1722993519</v>
          </cell>
          <cell r="D24">
            <v>1409547502</v>
          </cell>
          <cell r="E24">
            <v>313446017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1734157791</v>
          </cell>
          <cell r="D25">
            <v>1418578144</v>
          </cell>
          <cell r="E25">
            <v>315579647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11164272</v>
          </cell>
          <cell r="D26">
            <v>9030642</v>
          </cell>
          <cell r="E26">
            <v>2133630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/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/>
          <cell r="E29"/>
        </row>
        <row r="30">
          <cell r="A30">
            <v>10</v>
          </cell>
          <cell r="B30" t="str">
            <v>Асосий воситалар, соф</v>
          </cell>
          <cell r="C30">
            <v>426149204</v>
          </cell>
          <cell r="D30">
            <v>426149204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36537496</v>
          </cell>
          <cell r="D31">
            <v>33074119</v>
          </cell>
          <cell r="E31">
            <v>3463377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38066833</v>
          </cell>
          <cell r="D32">
            <v>34548830</v>
          </cell>
          <cell r="E32">
            <v>3518003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56772</v>
          </cell>
          <cell r="D33">
            <v>56772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1586109</v>
          </cell>
          <cell r="D34">
            <v>1531483</v>
          </cell>
          <cell r="E34">
            <v>54626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22490790</v>
          </cell>
          <cell r="D35">
            <v>22490790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2869550</v>
          </cell>
          <cell r="D36">
            <v>2869550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19621240</v>
          </cell>
          <cell r="D37">
            <v>19621240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20921049</v>
          </cell>
          <cell r="D39">
            <v>20921049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16671043</v>
          </cell>
          <cell r="D40">
            <v>16671043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3885190</v>
          </cell>
          <cell r="D41">
            <v>3885190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364816</v>
          </cell>
          <cell r="D42">
            <v>364816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397762646</v>
          </cell>
          <cell r="D43">
            <v>341411178</v>
          </cell>
          <cell r="E43">
            <v>56351468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397791229</v>
          </cell>
          <cell r="D44">
            <v>341439761</v>
          </cell>
          <cell r="E44">
            <v>56351468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28583</v>
          </cell>
          <cell r="D45">
            <v>28583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3903361422</v>
          </cell>
          <cell r="D47">
            <v>2782748750</v>
          </cell>
          <cell r="E47">
            <v>1120612672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881814668</v>
          </cell>
          <cell r="D50">
            <v>685997997</v>
          </cell>
          <cell r="E50">
            <v>195816671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1514939841</v>
          </cell>
          <cell r="D51">
            <v>1132812415</v>
          </cell>
          <cell r="E51">
            <v>382127426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3261141</v>
          </cell>
          <cell r="D52">
            <v>3261141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69808273</v>
          </cell>
          <cell r="D53">
            <v>2429589</v>
          </cell>
          <cell r="E53">
            <v>67378684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217841064</v>
          </cell>
          <cell r="D55">
            <v>192532804</v>
          </cell>
          <cell r="E55">
            <v>25308260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/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/>
          <cell r="E57"/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24144974</v>
          </cell>
          <cell r="D58">
            <v>18641014</v>
          </cell>
          <cell r="E58">
            <v>5503960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4042810</v>
          </cell>
          <cell r="D59">
            <v>4042810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1553562</v>
          </cell>
          <cell r="D60">
            <v>1369953</v>
          </cell>
          <cell r="E60">
            <v>183609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1475898</v>
          </cell>
          <cell r="D61">
            <v>1475898</v>
          </cell>
          <cell r="E61"/>
        </row>
        <row r="62">
          <cell r="A62" t="str">
            <v>28</v>
          </cell>
          <cell r="B62" t="str">
            <v>Бошқа мажбуриятлар</v>
          </cell>
          <cell r="C62">
            <v>473766196</v>
          </cell>
          <cell r="D62">
            <v>138354773</v>
          </cell>
          <cell r="E62">
            <v>335411423</v>
          </cell>
        </row>
        <row r="63">
          <cell r="A63" t="str">
            <v>29</v>
          </cell>
          <cell r="B63" t="str">
            <v>Жами мажбуриятлар</v>
          </cell>
          <cell r="C63">
            <v>3192648427</v>
          </cell>
          <cell r="D63">
            <v>2180918394</v>
          </cell>
          <cell r="E63">
            <v>1011730033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72333</v>
          </cell>
          <cell r="D70">
            <v>72333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27044485</v>
          </cell>
          <cell r="D71">
            <v>27044485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25754198</v>
          </cell>
          <cell r="D72">
            <v>25754198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1290287</v>
          </cell>
          <cell r="D74">
            <v>1290287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183596177</v>
          </cell>
          <cell r="D75">
            <v>183596177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145140221</v>
          </cell>
          <cell r="D76">
            <v>145140221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710712995</v>
          </cell>
          <cell r="D77">
            <v>710712995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3903361422</v>
          </cell>
          <cell r="D78">
            <v>2891631389</v>
          </cell>
          <cell r="E78">
            <v>1011730033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2954041</v>
          </cell>
          <cell r="D6">
            <v>2954041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4164889</v>
          </cell>
          <cell r="D7">
            <v>2490850</v>
          </cell>
          <cell r="E7">
            <v>1674039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3223288</v>
          </cell>
          <cell r="D8">
            <v>3223288</v>
          </cell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11192518</v>
          </cell>
          <cell r="D9">
            <v>11192518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215458876</v>
          </cell>
          <cell r="D12">
            <v>199609385</v>
          </cell>
          <cell r="E12">
            <v>15849491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6735445</v>
          </cell>
          <cell r="D13">
            <v>6735445</v>
          </cell>
          <cell r="E13">
            <v>0</v>
          </cell>
        </row>
        <row r="14">
          <cell r="B14" t="str">
            <v>Бошқа фоизли даромадлар</v>
          </cell>
          <cell r="C14">
            <v>102988798</v>
          </cell>
          <cell r="D14">
            <v>92721646</v>
          </cell>
          <cell r="E14">
            <v>10267152</v>
          </cell>
        </row>
        <row r="15">
          <cell r="B15" t="str">
            <v>Жами фоизли даромадлар</v>
          </cell>
          <cell r="C15">
            <v>346717855</v>
          </cell>
          <cell r="D15">
            <v>318927173</v>
          </cell>
          <cell r="E15">
            <v>27790682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264402</v>
          </cell>
          <cell r="D18">
            <v>8658</v>
          </cell>
          <cell r="E18">
            <v>255744</v>
          </cell>
        </row>
        <row r="19">
          <cell r="B19" t="str">
            <v>Муддатли депозитлар бўйича фоизли харажатлар</v>
          </cell>
          <cell r="C19">
            <v>142528394</v>
          </cell>
          <cell r="D19">
            <v>130391225</v>
          </cell>
          <cell r="E19">
            <v>12137169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119348</v>
          </cell>
          <cell r="D21">
            <v>103196</v>
          </cell>
          <cell r="E21">
            <v>16152</v>
          </cell>
        </row>
        <row r="22">
          <cell r="B22" t="str">
            <v>Жами депозитлар бўйича фоизли харажатлар</v>
          </cell>
          <cell r="C22">
            <v>142912144</v>
          </cell>
          <cell r="D22">
            <v>130503079</v>
          </cell>
          <cell r="E22">
            <v>12409065</v>
          </cell>
        </row>
        <row r="23">
          <cell r="B23" t="str">
            <v>Кредитлар бўйича фоизли харажатлар</v>
          </cell>
          <cell r="C23">
            <v>11239225</v>
          </cell>
          <cell r="D23">
            <v>10294042</v>
          </cell>
          <cell r="E23">
            <v>945183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  <cell r="E24">
            <v>0</v>
          </cell>
        </row>
        <row r="25">
          <cell r="B25" t="str">
            <v>Бошқа фоизли харажатлар</v>
          </cell>
          <cell r="C25">
            <v>102988798</v>
          </cell>
          <cell r="D25">
            <v>92721634</v>
          </cell>
          <cell r="E25">
            <v>10267164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114228023</v>
          </cell>
          <cell r="D26">
            <v>103015676</v>
          </cell>
          <cell r="E26">
            <v>11212347</v>
          </cell>
        </row>
        <row r="27">
          <cell r="B27" t="str">
            <v>Жами фоизли харажатлар</v>
          </cell>
          <cell r="C27">
            <v>257140167</v>
          </cell>
          <cell r="D27">
            <v>233518755</v>
          </cell>
          <cell r="E27">
            <v>23621412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89577688</v>
          </cell>
          <cell r="D29">
            <v>85408418</v>
          </cell>
          <cell r="E29">
            <v>4169270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8793054</v>
          </cell>
          <cell r="D30">
            <v>6629373</v>
          </cell>
          <cell r="E30">
            <v>2163681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4056908</v>
          </cell>
          <cell r="D33">
            <v>3998079</v>
          </cell>
          <cell r="E33">
            <v>58829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76727726</v>
          </cell>
          <cell r="D34">
            <v>74780966</v>
          </cell>
          <cell r="E34">
            <v>1946760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398917215</v>
          </cell>
          <cell r="D37">
            <v>148122151</v>
          </cell>
          <cell r="E37">
            <v>250795064</v>
          </cell>
        </row>
        <row r="38">
          <cell r="B38" t="str">
            <v>Хорижий валюталардаги фойда</v>
          </cell>
          <cell r="C38">
            <v>86179167</v>
          </cell>
          <cell r="D38">
            <v>13927</v>
          </cell>
          <cell r="E38">
            <v>86165240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/>
          <cell r="E39"/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11809391</v>
          </cell>
          <cell r="D41">
            <v>11809391</v>
          </cell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5371731</v>
          </cell>
          <cell r="D42">
            <v>1579704</v>
          </cell>
          <cell r="E42">
            <v>3792027</v>
          </cell>
        </row>
        <row r="43">
          <cell r="B43" t="str">
            <v>Бошқа фоизсиз даромадлар</v>
          </cell>
          <cell r="C43">
            <v>829557</v>
          </cell>
          <cell r="D43">
            <v>829557</v>
          </cell>
          <cell r="E43"/>
        </row>
        <row r="44">
          <cell r="B44" t="str">
            <v>Жами фоизсиз даромадлар</v>
          </cell>
          <cell r="C44">
            <v>504507382</v>
          </cell>
          <cell r="D44">
            <v>163755051</v>
          </cell>
          <cell r="E44">
            <v>340752331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214698827</v>
          </cell>
          <cell r="D47">
            <v>209417428</v>
          </cell>
          <cell r="E47">
            <v>5281399</v>
          </cell>
        </row>
        <row r="48">
          <cell r="B48" t="str">
            <v>Хорижий валютада кўрилган зарарлар</v>
          </cell>
          <cell r="C48">
            <v>52922385</v>
          </cell>
          <cell r="D48">
            <v>12</v>
          </cell>
          <cell r="E48">
            <v>52922373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/>
          <cell r="E50"/>
        </row>
        <row r="51">
          <cell r="B51" t="str">
            <v>Бошқа фоизсиз харажатлар</v>
          </cell>
          <cell r="C51">
            <v>27164</v>
          </cell>
          <cell r="D51">
            <v>27164</v>
          </cell>
          <cell r="E51">
            <v>0</v>
          </cell>
        </row>
        <row r="52">
          <cell r="B52" t="str">
            <v>Жами фоизсиз харажатлар</v>
          </cell>
          <cell r="C52">
            <v>267648376</v>
          </cell>
          <cell r="D52">
            <v>209444604</v>
          </cell>
          <cell r="E52">
            <v>58203772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313586732</v>
          </cell>
          <cell r="D54">
            <v>29091413</v>
          </cell>
          <cell r="E54">
            <v>284495319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62839680</v>
          </cell>
          <cell r="D57">
            <v>62839680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3801183</v>
          </cell>
          <cell r="D58">
            <v>3801183</v>
          </cell>
          <cell r="E58"/>
        </row>
        <row r="59">
          <cell r="B59" t="str">
            <v>Ижара ва таъминот харажатлари</v>
          </cell>
          <cell r="C59">
            <v>15039336</v>
          </cell>
          <cell r="D59">
            <v>15039336</v>
          </cell>
          <cell r="E59"/>
        </row>
        <row r="60">
          <cell r="B60" t="str">
            <v>Хизмат сафари ва транспорт харажатлари</v>
          </cell>
          <cell r="C60">
            <v>1314886</v>
          </cell>
          <cell r="D60">
            <v>1314886</v>
          </cell>
          <cell r="E60"/>
        </row>
        <row r="61">
          <cell r="B61" t="str">
            <v>Маъмурий харажатлар</v>
          </cell>
          <cell r="C61">
            <v>14168652</v>
          </cell>
          <cell r="D61">
            <v>14168652</v>
          </cell>
          <cell r="E61"/>
        </row>
        <row r="62">
          <cell r="B62" t="str">
            <v>Репрезентация ва хайрия</v>
          </cell>
          <cell r="C62">
            <v>7776916</v>
          </cell>
          <cell r="D62">
            <v>7776916</v>
          </cell>
          <cell r="E62"/>
        </row>
        <row r="63">
          <cell r="B63" t="str">
            <v>Эскириш харажатлари</v>
          </cell>
          <cell r="C63">
            <v>13886711</v>
          </cell>
          <cell r="D63">
            <v>13886711</v>
          </cell>
          <cell r="E63"/>
        </row>
        <row r="64">
          <cell r="B64" t="str">
            <v>Суғурта харажатлари</v>
          </cell>
          <cell r="C64">
            <v>510981</v>
          </cell>
          <cell r="D64">
            <v>510981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3936027</v>
          </cell>
          <cell r="D65">
            <v>3936027</v>
          </cell>
          <cell r="E65"/>
        </row>
        <row r="66">
          <cell r="B66" t="str">
            <v>Жарима ва пенялар</v>
          </cell>
          <cell r="C66">
            <v>50000</v>
          </cell>
          <cell r="D66">
            <v>50000</v>
          </cell>
          <cell r="E66"/>
        </row>
        <row r="67">
          <cell r="B67" t="str">
            <v>Бошқа операцион харажатлар</v>
          </cell>
          <cell r="C67">
            <v>13187477</v>
          </cell>
          <cell r="D67">
            <v>13187477</v>
          </cell>
          <cell r="E67"/>
        </row>
        <row r="68">
          <cell r="B68" t="str">
            <v>Жами операцион харажатлар</v>
          </cell>
          <cell r="C68">
            <v>132710666</v>
          </cell>
          <cell r="D68">
            <v>132710666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180876066</v>
          </cell>
          <cell r="D70">
            <v>-103619253</v>
          </cell>
          <cell r="E70">
            <v>284495319</v>
          </cell>
        </row>
        <row r="71">
          <cell r="B71" t="str">
            <v>Фойда солиғини баҳолаш</v>
          </cell>
          <cell r="C71">
            <v>35735845</v>
          </cell>
          <cell r="D71">
            <v>35735845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145140221</v>
          </cell>
          <cell r="D73">
            <v>-139355098</v>
          </cell>
          <cell r="E73">
            <v>284495319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145140221</v>
          </cell>
          <cell r="D77">
            <v>-139355098</v>
          </cell>
          <cell r="E77">
            <v>284495319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656675663</v>
          </cell>
        </row>
        <row r="9">
          <cell r="C9">
            <v>6017433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0.17384061999290992</v>
          </cell>
        </row>
        <row r="9">
          <cell r="I9">
            <v>0.13383199681559066</v>
          </cell>
        </row>
        <row r="11">
          <cell r="I11">
            <v>0.13383199681559066</v>
          </cell>
        </row>
        <row r="13">
          <cell r="I13">
            <v>0.13187776940054555</v>
          </cell>
        </row>
        <row r="16">
          <cell r="I16">
            <v>0.32923789961051675</v>
          </cell>
        </row>
        <row r="18">
          <cell r="I18">
            <v>1.3582527580399786</v>
          </cell>
        </row>
        <row r="21">
          <cell r="I21">
            <v>1.1348575730381565</v>
          </cell>
        </row>
      </sheetData>
      <sheetData sheetId="5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1658801288</v>
          </cell>
          <cell r="D5">
            <v>528146771</v>
          </cell>
          <cell r="E5">
            <v>1130654517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2616453470</v>
          </cell>
          <cell r="D6">
            <v>2616453470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7633001661</v>
          </cell>
          <cell r="D7">
            <v>799006688</v>
          </cell>
          <cell r="E7">
            <v>6833994973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7633001661</v>
          </cell>
          <cell r="D8">
            <v>799006688</v>
          </cell>
          <cell r="E8">
            <v>6833994973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7353679915</v>
          </cell>
          <cell r="D10">
            <v>5782874265</v>
          </cell>
          <cell r="E10">
            <v>1570805650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7420751597</v>
          </cell>
          <cell r="D11">
            <v>5876682000</v>
          </cell>
          <cell r="E11">
            <v>1544069597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-67071682</v>
          </cell>
          <cell r="D12">
            <v>-93807735</v>
          </cell>
          <cell r="E12">
            <v>26736053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875</v>
          </cell>
          <cell r="D14">
            <v>875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875</v>
          </cell>
          <cell r="D15">
            <v>875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1313580513</v>
          </cell>
          <cell r="D17">
            <v>1310335032</v>
          </cell>
          <cell r="E17">
            <v>3245481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1316786157</v>
          </cell>
          <cell r="D18">
            <v>1313540676</v>
          </cell>
          <cell r="E18">
            <v>3245481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3205644</v>
          </cell>
          <cell r="D20">
            <v>3205644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66635052996</v>
          </cell>
          <cell r="D24">
            <v>24564084822</v>
          </cell>
          <cell r="E24">
            <v>42070968174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68863077566</v>
          </cell>
          <cell r="D25">
            <v>25517192902</v>
          </cell>
          <cell r="E25">
            <v>43345884664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2228024570</v>
          </cell>
          <cell r="D26">
            <v>953108080</v>
          </cell>
          <cell r="E26">
            <v>1274916490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143433346</v>
          </cell>
          <cell r="D27">
            <v>0</v>
          </cell>
          <cell r="E27">
            <v>143433346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143433346</v>
          </cell>
          <cell r="D28">
            <v>0</v>
          </cell>
          <cell r="E28">
            <v>143433346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3709905847</v>
          </cell>
          <cell r="D30">
            <v>3709905847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5126073147</v>
          </cell>
          <cell r="D31">
            <v>2027717464</v>
          </cell>
          <cell r="E31">
            <v>3098355683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5480910410</v>
          </cell>
          <cell r="D32">
            <v>2244090514</v>
          </cell>
          <cell r="E32">
            <v>3236819896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196526033</v>
          </cell>
          <cell r="D33">
            <v>101713618</v>
          </cell>
          <cell r="E33">
            <v>94812415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551363296</v>
          </cell>
          <cell r="D34">
            <v>318086668</v>
          </cell>
          <cell r="E34">
            <v>233276628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392082116</v>
          </cell>
          <cell r="D35">
            <v>392082116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579827573</v>
          </cell>
          <cell r="D36">
            <v>579827573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5787189</v>
          </cell>
          <cell r="D37">
            <v>5787189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193532646</v>
          </cell>
          <cell r="D38">
            <v>193532646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653772207</v>
          </cell>
          <cell r="D39">
            <v>653772207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539488973</v>
          </cell>
          <cell r="D40">
            <v>539488973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91742008</v>
          </cell>
          <cell r="D41">
            <v>91742008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22541226</v>
          </cell>
          <cell r="D42">
            <v>22541226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1295192695</v>
          </cell>
          <cell r="D43">
            <v>1184352574</v>
          </cell>
          <cell r="E43">
            <v>110840121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1391862323</v>
          </cell>
          <cell r="D44">
            <v>1262557961</v>
          </cell>
          <cell r="E44">
            <v>129304362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96669628</v>
          </cell>
          <cell r="D45">
            <v>78205387</v>
          </cell>
          <cell r="E45">
            <v>18464241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97223485662</v>
          </cell>
          <cell r="D47">
            <v>42261187717</v>
          </cell>
          <cell r="E47">
            <v>54962297945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9061167496</v>
          </cell>
          <cell r="D50">
            <v>5284355240</v>
          </cell>
          <cell r="E50">
            <v>3776812256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18111266989</v>
          </cell>
          <cell r="D51">
            <v>15865872366</v>
          </cell>
          <cell r="E51">
            <v>2245394623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15636589</v>
          </cell>
          <cell r="D52">
            <v>15636589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5809791426</v>
          </cell>
          <cell r="D53">
            <v>1372777436</v>
          </cell>
          <cell r="E53">
            <v>4437013990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39633229030</v>
          </cell>
          <cell r="D55">
            <v>2697088703</v>
          </cell>
          <cell r="E55">
            <v>36936140327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9178254157</v>
          </cell>
          <cell r="D56">
            <v>2899729999</v>
          </cell>
          <cell r="E56">
            <v>6278524158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2421299404</v>
          </cell>
          <cell r="D57">
            <v>1447169608</v>
          </cell>
          <cell r="E57">
            <v>974129796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1276928804</v>
          </cell>
          <cell r="D58">
            <v>438052772</v>
          </cell>
          <cell r="E58">
            <v>838876032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26994740</v>
          </cell>
          <cell r="D59">
            <v>26994740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1421716</v>
          </cell>
          <cell r="D60">
            <v>1412461</v>
          </cell>
          <cell r="E60">
            <v>9255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24762000</v>
          </cell>
          <cell r="D61">
            <v>24762000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857460281</v>
          </cell>
          <cell r="D62">
            <v>426049580</v>
          </cell>
          <cell r="E62">
            <v>431410701</v>
          </cell>
        </row>
        <row r="63">
          <cell r="A63" t="str">
            <v>29</v>
          </cell>
          <cell r="B63" t="str">
            <v>Жами мажбуриятлар</v>
          </cell>
          <cell r="C63">
            <v>86418212632</v>
          </cell>
          <cell r="D63">
            <v>30499901494</v>
          </cell>
          <cell r="E63">
            <v>55918311138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4628941928</v>
          </cell>
          <cell r="D67">
            <v>4628941928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4621911928</v>
          </cell>
          <cell r="D68">
            <v>4621911928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7030000</v>
          </cell>
          <cell r="D69">
            <v>7030000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696121</v>
          </cell>
          <cell r="D70">
            <v>696121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1789394893</v>
          </cell>
          <cell r="D71">
            <v>1789394893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1778603852</v>
          </cell>
          <cell r="D72">
            <v>1778603852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10791041</v>
          </cell>
          <cell r="D74">
            <v>10791041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4386240088</v>
          </cell>
          <cell r="D75">
            <v>4386240088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808559683</v>
          </cell>
          <cell r="D76">
            <v>808559683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10805273030</v>
          </cell>
          <cell r="D77">
            <v>10805273030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97223485662</v>
          </cell>
          <cell r="D78">
            <v>41305174524</v>
          </cell>
          <cell r="E78">
            <v>55918311138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4488356</v>
          </cell>
          <cell r="D6">
            <v>4488356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226834803</v>
          </cell>
          <cell r="D7">
            <v>19572871</v>
          </cell>
          <cell r="E7">
            <v>207261932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1196088</v>
          </cell>
          <cell r="D8">
            <v>1196088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453291753</v>
          </cell>
          <cell r="D9">
            <v>409375152</v>
          </cell>
          <cell r="E9">
            <v>43916601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4505249296</v>
          </cell>
          <cell r="D12">
            <v>2675105252</v>
          </cell>
          <cell r="E12">
            <v>1830144044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9439454</v>
          </cell>
          <cell r="D13">
            <v>9439454</v>
          </cell>
          <cell r="E13">
            <v>0</v>
          </cell>
        </row>
        <row r="14">
          <cell r="B14" t="str">
            <v>Бошқа фоизли даромадлар</v>
          </cell>
          <cell r="C14">
            <v>14516615</v>
          </cell>
          <cell r="D14">
            <v>14516615</v>
          </cell>
          <cell r="E14">
            <v>0</v>
          </cell>
        </row>
        <row r="15">
          <cell r="B15" t="str">
            <v>Жами фоизли даромадлар</v>
          </cell>
          <cell r="C15">
            <v>5215016365</v>
          </cell>
          <cell r="D15">
            <v>3133693788</v>
          </cell>
          <cell r="E15">
            <v>2081322577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67218330</v>
          </cell>
          <cell r="D18">
            <v>55561361</v>
          </cell>
          <cell r="E18">
            <v>11656969</v>
          </cell>
        </row>
        <row r="19">
          <cell r="B19" t="str">
            <v>Муддатли депозитлар бўйича фоизли харажатлар</v>
          </cell>
          <cell r="C19">
            <v>1319669113</v>
          </cell>
          <cell r="D19">
            <v>1259495903</v>
          </cell>
          <cell r="E19">
            <v>60173210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217776509</v>
          </cell>
          <cell r="D21">
            <v>149272676</v>
          </cell>
          <cell r="E21">
            <v>68503833</v>
          </cell>
        </row>
        <row r="22">
          <cell r="B22" t="str">
            <v>Жами депозитлар бўйича фоизли харажатлар</v>
          </cell>
          <cell r="C22">
            <v>1604663952</v>
          </cell>
          <cell r="D22">
            <v>1464329940</v>
          </cell>
          <cell r="E22">
            <v>140334012</v>
          </cell>
        </row>
        <row r="23">
          <cell r="B23" t="str">
            <v>Кредитлар бўйича фоизли харажатлар</v>
          </cell>
          <cell r="C23">
            <v>1222787018</v>
          </cell>
          <cell r="D23">
            <v>221543314</v>
          </cell>
          <cell r="E23">
            <v>1001243704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47717785</v>
          </cell>
          <cell r="D24">
            <v>47717785</v>
          </cell>
          <cell r="E24">
            <v>0</v>
          </cell>
        </row>
        <row r="25">
          <cell r="B25" t="str">
            <v>Бошқа фоизли харажатлар</v>
          </cell>
          <cell r="C25">
            <v>674699444</v>
          </cell>
          <cell r="D25">
            <v>329947229</v>
          </cell>
          <cell r="E25">
            <v>344752215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1945204247</v>
          </cell>
          <cell r="D26">
            <v>599208328</v>
          </cell>
          <cell r="E26">
            <v>1345995919</v>
          </cell>
        </row>
        <row r="27">
          <cell r="B27" t="str">
            <v>Жами фоизли харажатлар</v>
          </cell>
          <cell r="C27">
            <v>3549868199</v>
          </cell>
          <cell r="D27">
            <v>2063538268</v>
          </cell>
          <cell r="E27">
            <v>1486329931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1665148166</v>
          </cell>
          <cell r="D29">
            <v>1070155520</v>
          </cell>
          <cell r="E29">
            <v>594992646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1674917927</v>
          </cell>
          <cell r="D30">
            <v>445862550</v>
          </cell>
          <cell r="E30">
            <v>1229055377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489047003</v>
          </cell>
          <cell r="D33">
            <v>246827163</v>
          </cell>
          <cell r="E33">
            <v>242219840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-498816764</v>
          </cell>
          <cell r="D34">
            <v>377465807</v>
          </cell>
          <cell r="E34">
            <v>-876282571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331808762</v>
          </cell>
          <cell r="D37">
            <v>254764453</v>
          </cell>
          <cell r="E37">
            <v>77044309</v>
          </cell>
        </row>
        <row r="38">
          <cell r="B38" t="str">
            <v>Хорижий валюталардаги фойда</v>
          </cell>
          <cell r="C38">
            <v>1467109173</v>
          </cell>
          <cell r="D38">
            <v>581695503</v>
          </cell>
          <cell r="E38">
            <v>885413670</v>
          </cell>
        </row>
        <row r="39">
          <cell r="B39" t="str">
            <v>Тижорат операцияларидан олинган фойда</v>
          </cell>
          <cell r="C39">
            <v>3582</v>
          </cell>
          <cell r="D39">
            <v>3582</v>
          </cell>
          <cell r="E39">
            <v>0</v>
          </cell>
        </row>
        <row r="40">
          <cell r="B40" t="str">
            <v>Инвестициядан олинган фойда ва дивидендлар</v>
          </cell>
          <cell r="C40">
            <v>26114514</v>
          </cell>
          <cell r="D40">
            <v>25866023</v>
          </cell>
          <cell r="E40">
            <v>248491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1443543061</v>
          </cell>
          <cell r="D41">
            <v>176345383</v>
          </cell>
          <cell r="E41">
            <v>1267197678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403454</v>
          </cell>
          <cell r="D42">
            <v>393168</v>
          </cell>
          <cell r="E42">
            <v>10286</v>
          </cell>
        </row>
        <row r="43">
          <cell r="B43" t="str">
            <v>Бошқа фоизсиз даромадлар</v>
          </cell>
          <cell r="C43">
            <v>181249051</v>
          </cell>
          <cell r="D43">
            <v>102574247</v>
          </cell>
          <cell r="E43">
            <v>78674804</v>
          </cell>
        </row>
        <row r="44">
          <cell r="B44" t="str">
            <v>Жами фоизсиз даромадлар</v>
          </cell>
          <cell r="C44">
            <v>3450231597</v>
          </cell>
          <cell r="D44">
            <v>1141642359</v>
          </cell>
          <cell r="E44">
            <v>2308589238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229492807</v>
          </cell>
          <cell r="D47">
            <v>153292220</v>
          </cell>
          <cell r="E47">
            <v>76200587</v>
          </cell>
        </row>
        <row r="48">
          <cell r="B48" t="str">
            <v>Хорижий валютада кўрилган зарарлар</v>
          </cell>
          <cell r="C48">
            <v>776593491</v>
          </cell>
          <cell r="D48">
            <v>1548710</v>
          </cell>
          <cell r="E48">
            <v>775044781</v>
          </cell>
        </row>
        <row r="49">
          <cell r="B49" t="str">
            <v>Тижорат операцияларидан кўрилган зарарлар</v>
          </cell>
          <cell r="C49">
            <v>3834031</v>
          </cell>
          <cell r="D49">
            <v>223605</v>
          </cell>
          <cell r="E49">
            <v>3610426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26932881</v>
          </cell>
          <cell r="D51">
            <v>22261216</v>
          </cell>
          <cell r="E51">
            <v>4671665</v>
          </cell>
        </row>
        <row r="52">
          <cell r="B52" t="str">
            <v>Жами фоизсиз харажатлар</v>
          </cell>
          <cell r="C52">
            <v>1036853210</v>
          </cell>
          <cell r="D52">
            <v>177325751</v>
          </cell>
          <cell r="E52">
            <v>859527459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1914561623</v>
          </cell>
          <cell r="D54">
            <v>1341782415</v>
          </cell>
          <cell r="E54">
            <v>572779208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547005460</v>
          </cell>
          <cell r="D57">
            <v>547005460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28400601</v>
          </cell>
          <cell r="D58">
            <v>28400601</v>
          </cell>
          <cell r="E58"/>
        </row>
        <row r="59">
          <cell r="B59" t="str">
            <v>Ижара ва таъминот харажатлари</v>
          </cell>
          <cell r="C59">
            <v>70420960</v>
          </cell>
          <cell r="D59">
            <v>70420960</v>
          </cell>
          <cell r="E59"/>
        </row>
        <row r="60">
          <cell r="B60" t="str">
            <v>Хизмат сафари ва транспорт харажатлари</v>
          </cell>
          <cell r="C60">
            <v>13216261</v>
          </cell>
          <cell r="D60">
            <v>13216261</v>
          </cell>
          <cell r="E60"/>
        </row>
        <row r="61">
          <cell r="B61" t="str">
            <v>Маъмурий харажатлар</v>
          </cell>
          <cell r="C61">
            <v>28507874</v>
          </cell>
          <cell r="D61">
            <v>28507874</v>
          </cell>
          <cell r="E61"/>
        </row>
        <row r="62">
          <cell r="B62" t="str">
            <v>Репрезентация ва хайрия</v>
          </cell>
          <cell r="C62">
            <v>82525460</v>
          </cell>
          <cell r="D62">
            <v>82525460</v>
          </cell>
          <cell r="E62"/>
        </row>
        <row r="63">
          <cell r="B63" t="str">
            <v>Эскириш харажатлари</v>
          </cell>
          <cell r="C63">
            <v>69770774</v>
          </cell>
          <cell r="D63">
            <v>69770774</v>
          </cell>
          <cell r="E63"/>
        </row>
        <row r="64">
          <cell r="B64" t="str">
            <v>Суғурта харажатлари</v>
          </cell>
          <cell r="C64">
            <v>3768746</v>
          </cell>
          <cell r="D64">
            <v>3768746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77341913</v>
          </cell>
          <cell r="D65">
            <v>77341913</v>
          </cell>
          <cell r="E65"/>
        </row>
        <row r="66">
          <cell r="B66" t="str">
            <v>Жарима ва пенялар</v>
          </cell>
          <cell r="C66">
            <v>568429</v>
          </cell>
          <cell r="D66">
            <v>568429</v>
          </cell>
          <cell r="E66"/>
        </row>
        <row r="67">
          <cell r="B67" t="str">
            <v>Бошқа операцион харажатлар</v>
          </cell>
          <cell r="C67">
            <v>67297941</v>
          </cell>
          <cell r="D67">
            <v>67297941</v>
          </cell>
          <cell r="E67"/>
        </row>
        <row r="68">
          <cell r="B68" t="str">
            <v>Жами операцион харажатлар</v>
          </cell>
          <cell r="C68">
            <v>960423818</v>
          </cell>
          <cell r="D68">
            <v>960423818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954137805</v>
          </cell>
          <cell r="D70">
            <v>381358597</v>
          </cell>
          <cell r="E70">
            <v>572779208</v>
          </cell>
        </row>
        <row r="71">
          <cell r="B71" t="str">
            <v>Фойда солиғини баҳолаш</v>
          </cell>
          <cell r="C71">
            <v>145578122</v>
          </cell>
          <cell r="D71">
            <v>145578122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808559683</v>
          </cell>
          <cell r="D73">
            <v>235780475</v>
          </cell>
          <cell r="E73">
            <v>572779208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808559683</v>
          </cell>
          <cell r="D77">
            <v>235780475</v>
          </cell>
          <cell r="E77">
            <v>572779208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2616453470</v>
          </cell>
        </row>
        <row r="9">
          <cell r="C9">
            <v>1309054596</v>
          </cell>
          <cell r="E9">
            <v>3374040564</v>
          </cell>
          <cell r="G9">
            <v>0</v>
          </cell>
        </row>
      </sheetData>
      <sheetData sheetId="3"/>
      <sheetData sheetId="4">
        <row r="7">
          <cell r="I7">
            <v>0.15203470091819998</v>
          </cell>
        </row>
        <row r="9">
          <cell r="I9">
            <v>0.11327235668273877</v>
          </cell>
        </row>
        <row r="11">
          <cell r="I11">
            <v>0.11318454961221024</v>
          </cell>
        </row>
        <row r="13">
          <cell r="I13">
            <v>9.7533924375572956E-2</v>
          </cell>
        </row>
        <row r="16">
          <cell r="I16">
            <v>0.15966621785159177</v>
          </cell>
        </row>
        <row r="18">
          <cell r="I18">
            <v>2.0875295854736864</v>
          </cell>
        </row>
        <row r="21">
          <cell r="I21">
            <v>1.1686572357277532</v>
          </cell>
        </row>
      </sheetData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17"/>
      <sheetName val="18"/>
      <sheetName val="3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1815727305</v>
          </cell>
          <cell r="D5">
            <v>1371967704</v>
          </cell>
          <cell r="E5">
            <v>443759601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1534209892</v>
          </cell>
          <cell r="D6">
            <v>1534209892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4410300694</v>
          </cell>
          <cell r="D7">
            <v>1989268464</v>
          </cell>
          <cell r="E7">
            <v>2421032230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4418050440</v>
          </cell>
          <cell r="D8">
            <v>1997018210</v>
          </cell>
          <cell r="E8">
            <v>2421032230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7749746</v>
          </cell>
          <cell r="D9">
            <v>7749746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7881423357</v>
          </cell>
          <cell r="D10">
            <v>7392149657</v>
          </cell>
          <cell r="E10">
            <v>489273700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8008391005</v>
          </cell>
          <cell r="D11">
            <v>7521207000</v>
          </cell>
          <cell r="E11">
            <v>487184005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-126967648</v>
          </cell>
          <cell r="D12">
            <v>-129057343</v>
          </cell>
          <cell r="E12">
            <v>2089695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1074010663</v>
          </cell>
          <cell r="D17">
            <v>1074010663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1074040883</v>
          </cell>
          <cell r="D18">
            <v>1074040883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30220</v>
          </cell>
          <cell r="D20">
            <v>30220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368231515</v>
          </cell>
          <cell r="D21">
            <v>368231515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368231515</v>
          </cell>
          <cell r="D22">
            <v>368231515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28391236739</v>
          </cell>
          <cell r="D24">
            <v>26146294498</v>
          </cell>
          <cell r="E24">
            <v>2244942241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30048968549</v>
          </cell>
          <cell r="D25">
            <v>27359600462</v>
          </cell>
          <cell r="E25">
            <v>2689368087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1657731810</v>
          </cell>
          <cell r="D26">
            <v>1213305964</v>
          </cell>
          <cell r="E26">
            <v>444425846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1104162808</v>
          </cell>
          <cell r="D30">
            <v>1104162808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1543195674</v>
          </cell>
          <cell r="D31">
            <v>1303504259</v>
          </cell>
          <cell r="E31">
            <v>239691415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2100223431</v>
          </cell>
          <cell r="D32">
            <v>1686345669</v>
          </cell>
          <cell r="E32">
            <v>413877762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51844591</v>
          </cell>
          <cell r="D33">
            <v>41648555</v>
          </cell>
          <cell r="E33">
            <v>10196036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608872348</v>
          </cell>
          <cell r="D34">
            <v>424489965</v>
          </cell>
          <cell r="E34">
            <v>184382383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904743136</v>
          </cell>
          <cell r="D35">
            <v>904743136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982101355</v>
          </cell>
          <cell r="D36">
            <v>982101355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389920341</v>
          </cell>
          <cell r="D37">
            <v>389920341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467278560</v>
          </cell>
          <cell r="D38">
            <v>467278560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306528436</v>
          </cell>
          <cell r="D39">
            <v>306528436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235851306</v>
          </cell>
          <cell r="D40">
            <v>235851306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62003759</v>
          </cell>
          <cell r="D41">
            <v>62003759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8673371</v>
          </cell>
          <cell r="D42">
            <v>8673371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483991509</v>
          </cell>
          <cell r="D43">
            <v>455406238</v>
          </cell>
          <cell r="E43">
            <v>28585271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521802930</v>
          </cell>
          <cell r="D44">
            <v>493217659</v>
          </cell>
          <cell r="E44">
            <v>28585271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37811421</v>
          </cell>
          <cell r="D45">
            <v>37811421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49204704856</v>
          </cell>
          <cell r="D47">
            <v>43337420398</v>
          </cell>
          <cell r="E47">
            <v>5867284458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3650068122</v>
          </cell>
          <cell r="D50">
            <v>3570650998</v>
          </cell>
          <cell r="E50">
            <v>79417124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22565599418</v>
          </cell>
          <cell r="D51">
            <v>22038414213</v>
          </cell>
          <cell r="E51">
            <v>527185205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298336</v>
          </cell>
          <cell r="D52">
            <v>298336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676901809</v>
          </cell>
          <cell r="D53">
            <v>630361680</v>
          </cell>
          <cell r="E53">
            <v>46540129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10561512321</v>
          </cell>
          <cell r="D55">
            <v>5538115629</v>
          </cell>
          <cell r="E55">
            <v>5023396692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172087724</v>
          </cell>
          <cell r="D57">
            <v>172087724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977158596</v>
          </cell>
          <cell r="D58">
            <v>927651057</v>
          </cell>
          <cell r="E58">
            <v>49507539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30985563</v>
          </cell>
          <cell r="D59">
            <v>30985563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32029239</v>
          </cell>
          <cell r="D60">
            <v>31983298</v>
          </cell>
          <cell r="E60">
            <v>45941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4614216</v>
          </cell>
          <cell r="D61">
            <v>4614216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1678690208</v>
          </cell>
          <cell r="D62">
            <v>1658590611</v>
          </cell>
          <cell r="E62">
            <v>20099597</v>
          </cell>
        </row>
        <row r="63">
          <cell r="A63" t="str">
            <v>29</v>
          </cell>
          <cell r="B63" t="str">
            <v>Жами мажбуриятлар</v>
          </cell>
          <cell r="C63">
            <v>40349945552</v>
          </cell>
          <cell r="D63">
            <v>34603753325</v>
          </cell>
          <cell r="E63">
            <v>5746192227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10297308144</v>
          </cell>
          <cell r="D67">
            <v>10297308144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10297308144</v>
          </cell>
          <cell r="D68">
            <v>10297308144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62075096</v>
          </cell>
          <cell r="D71">
            <v>62075096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46241092</v>
          </cell>
          <cell r="D72">
            <v>46241092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15834004</v>
          </cell>
          <cell r="D74">
            <v>15834004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-1504623936</v>
          </cell>
          <cell r="D75">
            <v>-1504623936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154618490</v>
          </cell>
          <cell r="D76">
            <v>154618490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8854759304</v>
          </cell>
          <cell r="D77">
            <v>8854759304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49204704856</v>
          </cell>
          <cell r="D78">
            <v>43458512629</v>
          </cell>
          <cell r="E78">
            <v>5746192227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7">
          <cell r="C7">
            <v>334209892</v>
          </cell>
        </row>
        <row r="9">
          <cell r="C9">
            <v>459572241</v>
          </cell>
          <cell r="E9">
            <v>995977150</v>
          </cell>
          <cell r="G9">
            <v>1031854181</v>
          </cell>
        </row>
      </sheetData>
      <sheetData sheetId="2"/>
      <sheetData sheetId="3">
        <row r="6">
          <cell r="B6" t="str">
            <v>Марказий банкдаги ҳисобварақлар бўйича фоизли даромадлар</v>
          </cell>
          <cell r="C6">
            <v>57640067</v>
          </cell>
          <cell r="D6">
            <v>57399589</v>
          </cell>
          <cell r="E6">
            <v>240478</v>
          </cell>
        </row>
        <row r="7">
          <cell r="B7" t="str">
            <v>Бошқа банклардаги ҳисобварақлар бўйича фоизли даромадлар</v>
          </cell>
          <cell r="C7">
            <v>163015437</v>
          </cell>
          <cell r="D7">
            <v>124793483</v>
          </cell>
          <cell r="E7">
            <v>38221954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39236016</v>
          </cell>
          <cell r="D8">
            <v>39236016</v>
          </cell>
          <cell r="E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438725456</v>
          </cell>
          <cell r="D9">
            <v>432203161</v>
          </cell>
          <cell r="E9">
            <v>6522295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2488992665</v>
          </cell>
          <cell r="D12">
            <v>2402577187</v>
          </cell>
          <cell r="E12">
            <v>86415478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23227305</v>
          </cell>
          <cell r="D13">
            <v>23227305</v>
          </cell>
          <cell r="E13">
            <v>0</v>
          </cell>
        </row>
        <row r="14">
          <cell r="B14" t="str">
            <v>Бошқа фоизли даромадлар</v>
          </cell>
          <cell r="C14">
            <v>11892147</v>
          </cell>
          <cell r="D14">
            <v>11892147</v>
          </cell>
          <cell r="E14">
            <v>0</v>
          </cell>
        </row>
        <row r="15">
          <cell r="B15" t="str">
            <v>Жами фоизли даромадлар</v>
          </cell>
          <cell r="C15">
            <v>3222729093</v>
          </cell>
          <cell r="D15">
            <v>3091328888</v>
          </cell>
          <cell r="E15">
            <v>131400205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180</v>
          </cell>
          <cell r="D18">
            <v>0</v>
          </cell>
          <cell r="E18">
            <v>180</v>
          </cell>
        </row>
        <row r="19">
          <cell r="B19" t="str">
            <v>Муддатли депозитлар бўйича фоизли харажатлар</v>
          </cell>
          <cell r="C19">
            <v>984988131</v>
          </cell>
          <cell r="D19">
            <v>969626235</v>
          </cell>
          <cell r="E19">
            <v>15361896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36766839</v>
          </cell>
          <cell r="D21">
            <v>29117649</v>
          </cell>
          <cell r="E21">
            <v>7649190</v>
          </cell>
        </row>
        <row r="22">
          <cell r="B22" t="str">
            <v>Жами депозитлар бўйича фоизли харажатлар</v>
          </cell>
          <cell r="C22">
            <v>1021755150</v>
          </cell>
          <cell r="D22">
            <v>998743884</v>
          </cell>
          <cell r="E22">
            <v>23011266</v>
          </cell>
        </row>
        <row r="23">
          <cell r="B23" t="str">
            <v>Кредитлар бўйича фоизли харажатлар</v>
          </cell>
          <cell r="C23">
            <v>422570536</v>
          </cell>
          <cell r="D23">
            <v>324754952</v>
          </cell>
          <cell r="E23">
            <v>97815584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5215648</v>
          </cell>
          <cell r="D24">
            <v>5215648</v>
          </cell>
          <cell r="E24">
            <v>0</v>
          </cell>
        </row>
        <row r="25">
          <cell r="B25" t="str">
            <v>Бошқа фоизли харажатлар</v>
          </cell>
          <cell r="C25">
            <v>867826751</v>
          </cell>
          <cell r="D25">
            <v>825567624</v>
          </cell>
          <cell r="E25">
            <v>42259127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1295612935</v>
          </cell>
          <cell r="D26">
            <v>1155538224</v>
          </cell>
          <cell r="E26">
            <v>140074711</v>
          </cell>
        </row>
        <row r="27">
          <cell r="B27" t="str">
            <v>Жами фоизли харажатлар</v>
          </cell>
          <cell r="C27">
            <v>2317368085</v>
          </cell>
          <cell r="D27">
            <v>2154282108</v>
          </cell>
          <cell r="E27">
            <v>163085977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905361008</v>
          </cell>
          <cell r="D29">
            <v>937046780</v>
          </cell>
          <cell r="E29">
            <v>-31685772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937997243</v>
          </cell>
          <cell r="D30">
            <v>736983684</v>
          </cell>
          <cell r="E30">
            <v>201013559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522911045</v>
          </cell>
          <cell r="D33">
            <v>416846114</v>
          </cell>
          <cell r="E33">
            <v>106064931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-555547280</v>
          </cell>
          <cell r="D34">
            <v>-216783018</v>
          </cell>
          <cell r="E34">
            <v>-338764262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773269512</v>
          </cell>
          <cell r="D37">
            <v>772938449</v>
          </cell>
          <cell r="E37">
            <v>331063</v>
          </cell>
        </row>
        <row r="38">
          <cell r="B38" t="str">
            <v>Хорижий валюталардаги фойда</v>
          </cell>
          <cell r="C38">
            <v>199082008</v>
          </cell>
          <cell r="D38">
            <v>97311</v>
          </cell>
          <cell r="E38">
            <v>198984697</v>
          </cell>
        </row>
        <row r="39">
          <cell r="B39" t="str">
            <v>Тижорат операцияларидан олинган фойда</v>
          </cell>
          <cell r="C39">
            <v>226329758</v>
          </cell>
          <cell r="D39">
            <v>226314737</v>
          </cell>
          <cell r="E39">
            <v>15021</v>
          </cell>
        </row>
        <row r="40">
          <cell r="B40" t="str">
            <v>Инвестициядан олинган фойда ва дивидендлар</v>
          </cell>
          <cell r="C40">
            <v>11295835</v>
          </cell>
          <cell r="D40">
            <v>11295835</v>
          </cell>
          <cell r="E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481191765</v>
          </cell>
          <cell r="D41">
            <v>308021186</v>
          </cell>
          <cell r="E41">
            <v>173170579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506486104</v>
          </cell>
          <cell r="D42">
            <v>437197618</v>
          </cell>
          <cell r="E42">
            <v>69288486</v>
          </cell>
        </row>
        <row r="43">
          <cell r="B43" t="str">
            <v>Бошқа фоизсиз даромадлар</v>
          </cell>
          <cell r="C43">
            <v>144601953</v>
          </cell>
          <cell r="D43">
            <v>138770044</v>
          </cell>
          <cell r="E43">
            <v>5831909</v>
          </cell>
        </row>
        <row r="44">
          <cell r="B44" t="str">
            <v>Жами фоизсиз даромадлар</v>
          </cell>
          <cell r="C44">
            <v>2342256935</v>
          </cell>
          <cell r="D44">
            <v>1894635180</v>
          </cell>
          <cell r="E44">
            <v>447621755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491230308</v>
          </cell>
          <cell r="D47">
            <v>487320992</v>
          </cell>
          <cell r="E47">
            <v>3909316</v>
          </cell>
        </row>
        <row r="48">
          <cell r="B48" t="str">
            <v>Хорижий валютада кўрилган зарарлар</v>
          </cell>
          <cell r="C48">
            <v>175967268</v>
          </cell>
          <cell r="D48">
            <v>0</v>
          </cell>
          <cell r="E48">
            <v>175967268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Бошқа фоизсиз харажатлар</v>
          </cell>
          <cell r="C51">
            <v>7650424</v>
          </cell>
          <cell r="D51">
            <v>7649702</v>
          </cell>
          <cell r="E51">
            <v>722</v>
          </cell>
        </row>
        <row r="52">
          <cell r="B52" t="str">
            <v>Жами фоизсиз харажатлар</v>
          </cell>
          <cell r="C52">
            <v>674848000</v>
          </cell>
          <cell r="D52">
            <v>494970694</v>
          </cell>
          <cell r="E52">
            <v>179877306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1111861655</v>
          </cell>
          <cell r="D54">
            <v>1182881468</v>
          </cell>
          <cell r="E54">
            <v>-71019813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608353015</v>
          </cell>
          <cell r="D57">
            <v>607904930</v>
          </cell>
          <cell r="E57"/>
        </row>
        <row r="58">
          <cell r="B58" t="str">
            <v xml:space="preserve">шундан, раҳбар ходимларга тўловлар </v>
          </cell>
          <cell r="C58"/>
          <cell r="D58"/>
          <cell r="E58"/>
        </row>
        <row r="59">
          <cell r="B59" t="str">
            <v>Ижара ва таъминот харажатлари</v>
          </cell>
          <cell r="C59">
            <v>96815836</v>
          </cell>
          <cell r="D59">
            <v>96815836</v>
          </cell>
          <cell r="E59"/>
        </row>
        <row r="60">
          <cell r="B60" t="str">
            <v>Хизмат сафари ва транспорт харажатлари</v>
          </cell>
          <cell r="C60">
            <v>13209570</v>
          </cell>
          <cell r="D60">
            <v>12771781</v>
          </cell>
          <cell r="E60"/>
        </row>
        <row r="61">
          <cell r="B61" t="str">
            <v>Маъмурий харажатлар</v>
          </cell>
          <cell r="C61">
            <v>56799712</v>
          </cell>
          <cell r="D61">
            <v>55723326</v>
          </cell>
          <cell r="E61"/>
        </row>
        <row r="62">
          <cell r="B62" t="str">
            <v>Репрезентация ва хайрия</v>
          </cell>
          <cell r="C62">
            <v>29347903</v>
          </cell>
          <cell r="D62">
            <v>29206978.003029998</v>
          </cell>
          <cell r="E62"/>
        </row>
        <row r="63">
          <cell r="B63" t="str">
            <v>Эскириш харажатлари</v>
          </cell>
          <cell r="C63">
            <v>94859211</v>
          </cell>
          <cell r="D63">
            <v>94859211</v>
          </cell>
          <cell r="E63"/>
        </row>
        <row r="64">
          <cell r="B64" t="str">
            <v>Суғурта харажатлари</v>
          </cell>
          <cell r="C64">
            <v>64848</v>
          </cell>
          <cell r="D64">
            <v>64848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44231210</v>
          </cell>
          <cell r="D65">
            <v>44231210</v>
          </cell>
          <cell r="E65"/>
        </row>
        <row r="66">
          <cell r="B66" t="str">
            <v>Жарима ва пенялар</v>
          </cell>
          <cell r="C66">
            <v>0</v>
          </cell>
          <cell r="D66">
            <v>0</v>
          </cell>
          <cell r="E66"/>
        </row>
        <row r="67">
          <cell r="B67" t="str">
            <v>Бошқа операцион харажатлар</v>
          </cell>
          <cell r="C67">
            <v>13561860</v>
          </cell>
          <cell r="D67">
            <v>13307651</v>
          </cell>
          <cell r="E67"/>
        </row>
        <row r="68">
          <cell r="B68" t="str">
            <v>Жами операцион харажатлар</v>
          </cell>
          <cell r="C68">
            <v>957243165</v>
          </cell>
          <cell r="D68">
            <v>954885771.00302994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154618490</v>
          </cell>
          <cell r="D70">
            <v>227995696.99697006</v>
          </cell>
          <cell r="E70">
            <v>-73377206.996970057</v>
          </cell>
        </row>
        <row r="71">
          <cell r="B71" t="str">
            <v>Фойда солиғини баҳолаш</v>
          </cell>
          <cell r="C71">
            <v>0</v>
          </cell>
          <cell r="D71"/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154618490</v>
          </cell>
          <cell r="D73">
            <v>227995696.99697006</v>
          </cell>
          <cell r="E73">
            <v>-73377206.996970057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154618490</v>
          </cell>
          <cell r="D77">
            <v>227995696.99697006</v>
          </cell>
          <cell r="E77">
            <v>-73377206.996970057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4">
        <row r="7">
          <cell r="I7">
            <v>0.20723498800367809</v>
          </cell>
        </row>
        <row r="9">
          <cell r="I9">
            <v>0.19656735435966974</v>
          </cell>
        </row>
        <row r="11">
          <cell r="I11">
            <v>0.19656735435966974</v>
          </cell>
        </row>
        <row r="13">
          <cell r="I13">
            <v>0.17091993132804092</v>
          </cell>
        </row>
        <row r="16">
          <cell r="I16">
            <v>0.23989527255738893</v>
          </cell>
        </row>
        <row r="18">
          <cell r="I18">
            <v>3.0787246094360996</v>
          </cell>
        </row>
        <row r="21">
          <cell r="I21">
            <v>1.4451808286921579</v>
          </cell>
        </row>
      </sheetData>
      <sheetData sheetId="5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  <sheetName val="Лист6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95972583</v>
          </cell>
          <cell r="D5">
            <v>58707141</v>
          </cell>
          <cell r="E5">
            <v>37265442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261183763</v>
          </cell>
          <cell r="D6">
            <v>261183763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773039019</v>
          </cell>
          <cell r="D7">
            <v>121367286</v>
          </cell>
          <cell r="E7">
            <v>651671733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773204674</v>
          </cell>
          <cell r="D8">
            <v>121367286</v>
          </cell>
          <cell r="E8">
            <v>651837388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165655</v>
          </cell>
          <cell r="D9">
            <v>0</v>
          </cell>
          <cell r="E9">
            <v>165655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719</v>
          </cell>
          <cell r="D14">
            <v>719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719</v>
          </cell>
          <cell r="D15">
            <v>719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413821</v>
          </cell>
          <cell r="D17">
            <v>413821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413821</v>
          </cell>
          <cell r="D18">
            <v>413821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1967265951</v>
          </cell>
          <cell r="D24">
            <v>904235183</v>
          </cell>
          <cell r="E24">
            <v>1063030768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2023832985</v>
          </cell>
          <cell r="D25">
            <v>941299777</v>
          </cell>
          <cell r="E25">
            <v>1082533208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56567034</v>
          </cell>
          <cell r="D26">
            <v>37064594</v>
          </cell>
          <cell r="E26">
            <v>19502440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68054670</v>
          </cell>
          <cell r="D30">
            <v>68054670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24519133</v>
          </cell>
          <cell r="D31">
            <v>16202776</v>
          </cell>
          <cell r="E31">
            <v>8316357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35477494</v>
          </cell>
          <cell r="D32">
            <v>24361508</v>
          </cell>
          <cell r="E32">
            <v>11115986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146970</v>
          </cell>
          <cell r="D33">
            <v>146970</v>
          </cell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11105331</v>
          </cell>
          <cell r="D34">
            <v>8305702</v>
          </cell>
          <cell r="E34">
            <v>2799629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3963005</v>
          </cell>
          <cell r="D35">
            <v>3963005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7074381</v>
          </cell>
          <cell r="D36">
            <v>7074381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3111376</v>
          </cell>
          <cell r="D38">
            <v>3111376</v>
          </cell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35432560</v>
          </cell>
          <cell r="D39">
            <v>35432560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21254989</v>
          </cell>
          <cell r="D40">
            <v>21254989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13938000</v>
          </cell>
          <cell r="D41">
            <v>13938000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239571</v>
          </cell>
          <cell r="D42">
            <v>239571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145469796</v>
          </cell>
          <cell r="D43">
            <v>133263930</v>
          </cell>
          <cell r="E43">
            <v>12205866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135687127</v>
          </cell>
          <cell r="D44">
            <v>123462681</v>
          </cell>
          <cell r="E44">
            <v>12224446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276878</v>
          </cell>
          <cell r="D45">
            <v>258298</v>
          </cell>
          <cell r="E45">
            <v>18580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10059547</v>
          </cell>
          <cell r="D46">
            <v>10059547</v>
          </cell>
          <cell r="E46"/>
        </row>
        <row r="47">
          <cell r="A47" t="str">
            <v>15</v>
          </cell>
          <cell r="B47" t="str">
            <v>Жами активлар</v>
          </cell>
          <cell r="C47">
            <v>3304449900</v>
          </cell>
          <cell r="D47">
            <v>1531959734</v>
          </cell>
          <cell r="E47">
            <v>1772490166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651062605</v>
          </cell>
          <cell r="D50">
            <v>235342989</v>
          </cell>
          <cell r="E50">
            <v>415719616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1037559820</v>
          </cell>
          <cell r="D51">
            <v>435921817</v>
          </cell>
          <cell r="E51">
            <v>601638003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87547</v>
          </cell>
          <cell r="D52">
            <v>87547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656160868</v>
          </cell>
          <cell r="D53">
            <v>69093362</v>
          </cell>
          <cell r="E53">
            <v>587067506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110043515</v>
          </cell>
          <cell r="D55">
            <v>10000000</v>
          </cell>
          <cell r="E55">
            <v>100043515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/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10100248</v>
          </cell>
          <cell r="D58">
            <v>5303602</v>
          </cell>
          <cell r="E58">
            <v>4796646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1802239</v>
          </cell>
          <cell r="D59">
            <v>1743653</v>
          </cell>
          <cell r="E59">
            <v>58586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60336228</v>
          </cell>
          <cell r="D60">
            <v>60096348</v>
          </cell>
          <cell r="E60">
            <v>239880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608784</v>
          </cell>
          <cell r="D61">
            <v>608784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77201678</v>
          </cell>
          <cell r="D62">
            <v>41188301</v>
          </cell>
          <cell r="E62">
            <v>36013377</v>
          </cell>
        </row>
        <row r="63">
          <cell r="A63" t="str">
            <v>29</v>
          </cell>
          <cell r="B63" t="str">
            <v>Жами мажбуриятлар</v>
          </cell>
          <cell r="C63">
            <v>2604963532</v>
          </cell>
          <cell r="D63">
            <v>859386403</v>
          </cell>
          <cell r="E63">
            <v>1745577129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554296852</v>
          </cell>
          <cell r="D67">
            <v>554296852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554296852</v>
          </cell>
          <cell r="D68">
            <v>554296852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35612486</v>
          </cell>
          <cell r="D71">
            <v>35612486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33463577</v>
          </cell>
          <cell r="D72">
            <v>33463577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2148909</v>
          </cell>
          <cell r="D74">
            <v>2148909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109577030</v>
          </cell>
          <cell r="D75">
            <v>109577030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27365402</v>
          </cell>
          <cell r="D76">
            <v>27365402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699486368</v>
          </cell>
          <cell r="D77">
            <v>699486368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3304449900</v>
          </cell>
          <cell r="D78">
            <v>1558872771</v>
          </cell>
          <cell r="E78">
            <v>1745577129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3271438</v>
          </cell>
          <cell r="D6">
            <v>3271438</v>
          </cell>
          <cell r="E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21874779</v>
          </cell>
          <cell r="D7">
            <v>13490972</v>
          </cell>
          <cell r="E7">
            <v>8383807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/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0</v>
          </cell>
          <cell r="D9"/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165750095</v>
          </cell>
          <cell r="D12">
            <v>113241525</v>
          </cell>
          <cell r="E12">
            <v>52508570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/>
          <cell r="E13"/>
        </row>
        <row r="14">
          <cell r="B14" t="str">
            <v>Бошқа фоизли даромадлар</v>
          </cell>
          <cell r="C14">
            <v>0</v>
          </cell>
          <cell r="D14"/>
          <cell r="E14"/>
        </row>
        <row r="15">
          <cell r="B15" t="str">
            <v>Жами фоизли даромадлар</v>
          </cell>
          <cell r="C15">
            <v>190896312</v>
          </cell>
          <cell r="D15">
            <v>130003935</v>
          </cell>
          <cell r="E15">
            <v>60892377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  <cell r="D18"/>
          <cell r="E18"/>
        </row>
        <row r="19">
          <cell r="B19" t="str">
            <v>Муддатли депозитлар бўйича фоизли харажатлар</v>
          </cell>
          <cell r="C19">
            <v>69495334</v>
          </cell>
          <cell r="D19">
            <v>49297135</v>
          </cell>
          <cell r="E19">
            <v>20198199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15692840</v>
          </cell>
          <cell r="D21">
            <v>3494405</v>
          </cell>
          <cell r="E21">
            <v>12198435</v>
          </cell>
        </row>
        <row r="22">
          <cell r="B22" t="str">
            <v>Жами депозитлар бўйича фоизли харажатлар</v>
          </cell>
          <cell r="C22">
            <v>85188174</v>
          </cell>
          <cell r="D22">
            <v>52791540</v>
          </cell>
          <cell r="E22">
            <v>32396634</v>
          </cell>
        </row>
        <row r="23">
          <cell r="B23" t="str">
            <v>Кредитлар бўйича фоизли харажатлар</v>
          </cell>
          <cell r="C23">
            <v>1759127</v>
          </cell>
          <cell r="D23">
            <v>97529</v>
          </cell>
          <cell r="E23">
            <v>1661598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/>
          <cell r="E24"/>
        </row>
        <row r="25">
          <cell r="B25" t="str">
            <v>Бошқа фоизли харажатлар</v>
          </cell>
          <cell r="C25">
            <v>0</v>
          </cell>
          <cell r="D25"/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1759127</v>
          </cell>
          <cell r="D26">
            <v>97529</v>
          </cell>
          <cell r="E26">
            <v>1661598</v>
          </cell>
        </row>
        <row r="27">
          <cell r="B27" t="str">
            <v>Жами фоизли харажатлар</v>
          </cell>
          <cell r="C27">
            <v>86947301</v>
          </cell>
          <cell r="D27">
            <v>52889069</v>
          </cell>
          <cell r="E27">
            <v>34058232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103949011</v>
          </cell>
          <cell r="D29">
            <v>77114866</v>
          </cell>
          <cell r="E29">
            <v>26834145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44069134</v>
          </cell>
          <cell r="D30">
            <v>-19308703</v>
          </cell>
          <cell r="E30">
            <v>63377837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/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/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12573193</v>
          </cell>
          <cell r="D33">
            <v>12570657</v>
          </cell>
          <cell r="E33">
            <v>2536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47306684</v>
          </cell>
          <cell r="D34">
            <v>83852912</v>
          </cell>
          <cell r="E34">
            <v>-36546228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16220895</v>
          </cell>
          <cell r="D37">
            <v>13683420</v>
          </cell>
          <cell r="E37">
            <v>2537475</v>
          </cell>
        </row>
        <row r="38">
          <cell r="B38" t="str">
            <v>Хорижий валюталардаги фойда</v>
          </cell>
          <cell r="C38">
            <v>20065393</v>
          </cell>
          <cell r="D38">
            <v>263899</v>
          </cell>
          <cell r="E38">
            <v>19801494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/>
          <cell r="E39"/>
        </row>
        <row r="40">
          <cell r="B40" t="str">
            <v>Инвестициядан олинган фойда ва дивидендлар</v>
          </cell>
          <cell r="C40">
            <v>1400321</v>
          </cell>
          <cell r="D40">
            <v>1400321</v>
          </cell>
          <cell r="E40"/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22288201</v>
          </cell>
          <cell r="D41">
            <v>22254665</v>
          </cell>
          <cell r="E41">
            <v>33536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>
            <v>0</v>
          </cell>
          <cell r="E42">
            <v>0</v>
          </cell>
        </row>
        <row r="43">
          <cell r="B43" t="str">
            <v>Бошқа фоизсиз даромадлар</v>
          </cell>
          <cell r="C43">
            <v>0</v>
          </cell>
          <cell r="D43"/>
          <cell r="E43"/>
        </row>
        <row r="44">
          <cell r="B44" t="str">
            <v>Жами фоизсиз даромадлар</v>
          </cell>
          <cell r="C44">
            <v>59974810</v>
          </cell>
          <cell r="D44">
            <v>37602305</v>
          </cell>
          <cell r="E44">
            <v>22372505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7934969</v>
          </cell>
          <cell r="D47">
            <v>4057353</v>
          </cell>
          <cell r="E47">
            <v>3877616</v>
          </cell>
        </row>
        <row r="48">
          <cell r="B48" t="str">
            <v>Хорижий валютада кўрилган зарарлар</v>
          </cell>
          <cell r="C48">
            <v>3652000</v>
          </cell>
          <cell r="D48">
            <v>-7667</v>
          </cell>
          <cell r="E48">
            <v>3659667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/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/>
          <cell r="E50"/>
        </row>
        <row r="51">
          <cell r="B51" t="str">
            <v>Бошқа фоизсиз харажатлар</v>
          </cell>
          <cell r="C51">
            <v>0</v>
          </cell>
          <cell r="D51">
            <v>0</v>
          </cell>
          <cell r="E51"/>
        </row>
        <row r="52">
          <cell r="B52" t="str">
            <v>Жами фоизсиз харажатлар</v>
          </cell>
          <cell r="C52">
            <v>11586969</v>
          </cell>
          <cell r="D52">
            <v>4049686</v>
          </cell>
          <cell r="E52">
            <v>7537283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95694525</v>
          </cell>
          <cell r="D54">
            <v>117405531</v>
          </cell>
          <cell r="E54">
            <v>-21711006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29917163</v>
          </cell>
          <cell r="D57">
            <v>29917163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297493</v>
          </cell>
          <cell r="D58">
            <v>297493</v>
          </cell>
          <cell r="E58"/>
        </row>
        <row r="59">
          <cell r="B59" t="str">
            <v>Ижара ва таъминот харажатлари</v>
          </cell>
          <cell r="C59">
            <v>6362100</v>
          </cell>
          <cell r="D59">
            <v>6362100</v>
          </cell>
          <cell r="E59"/>
        </row>
        <row r="60">
          <cell r="B60" t="str">
            <v>Хизмат сафари ва транспорт харажатлари</v>
          </cell>
          <cell r="C60">
            <v>998936</v>
          </cell>
          <cell r="D60">
            <v>998936</v>
          </cell>
          <cell r="E60"/>
        </row>
        <row r="61">
          <cell r="B61" t="str">
            <v>Маъмурий харажатлар</v>
          </cell>
          <cell r="C61">
            <v>1300114</v>
          </cell>
          <cell r="D61">
            <v>1300114</v>
          </cell>
          <cell r="E61"/>
        </row>
        <row r="62">
          <cell r="B62" t="str">
            <v>Репрезентация ва хайрия</v>
          </cell>
          <cell r="C62">
            <v>5849708</v>
          </cell>
          <cell r="D62">
            <v>5849708</v>
          </cell>
          <cell r="E62"/>
        </row>
        <row r="63">
          <cell r="B63" t="str">
            <v>Эскириш харажатлари</v>
          </cell>
          <cell r="C63">
            <v>11108095</v>
          </cell>
          <cell r="D63">
            <v>11108095</v>
          </cell>
          <cell r="E63"/>
        </row>
        <row r="64">
          <cell r="B64" t="str">
            <v>Суғурта харажатлари</v>
          </cell>
          <cell r="C64">
            <v>994620</v>
          </cell>
          <cell r="D64">
            <v>994620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2077513</v>
          </cell>
          <cell r="D65">
            <v>2077513</v>
          </cell>
          <cell r="E65"/>
        </row>
        <row r="66">
          <cell r="B66" t="str">
            <v>Жарима ва пенялар</v>
          </cell>
          <cell r="C66">
            <v>364165</v>
          </cell>
          <cell r="D66">
            <v>364165</v>
          </cell>
          <cell r="E66"/>
        </row>
        <row r="67">
          <cell r="B67" t="str">
            <v>Бошқа операцион харажатлар</v>
          </cell>
          <cell r="C67">
            <v>218367</v>
          </cell>
          <cell r="D67">
            <v>218367</v>
          </cell>
          <cell r="E67"/>
        </row>
        <row r="68">
          <cell r="B68" t="str">
            <v>Жами операцион харажатлар</v>
          </cell>
          <cell r="C68">
            <v>59190781</v>
          </cell>
          <cell r="D68">
            <v>59190781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36503744</v>
          </cell>
          <cell r="D70">
            <v>58214750</v>
          </cell>
          <cell r="E70">
            <v>-21711006</v>
          </cell>
        </row>
        <row r="71">
          <cell r="B71" t="str">
            <v>Фойда солиғини баҳолаш</v>
          </cell>
          <cell r="C71">
            <v>9138342</v>
          </cell>
          <cell r="D71">
            <v>9138342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27365402</v>
          </cell>
          <cell r="D73">
            <v>49076408</v>
          </cell>
          <cell r="E73">
            <v>-21711006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  <cell r="E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  <cell r="E75">
            <v>0</v>
          </cell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27365402</v>
          </cell>
          <cell r="D77">
            <v>49076408</v>
          </cell>
          <cell r="E77">
            <v>-21711006</v>
          </cell>
        </row>
        <row r="79">
          <cell r="B79" t="str">
            <v>Бошқарув Раис имзоси:</v>
          </cell>
          <cell r="C79"/>
          <cell r="D79"/>
          <cell r="E79"/>
        </row>
        <row r="80">
          <cell r="B80"/>
          <cell r="C80"/>
          <cell r="D80"/>
          <cell r="E80"/>
        </row>
        <row r="81">
          <cell r="B81" t="str">
            <v>Бош бухгалтер имзоси:</v>
          </cell>
          <cell r="C81"/>
          <cell r="D81"/>
          <cell r="E81"/>
        </row>
      </sheetData>
      <sheetData sheetId="2">
        <row r="7">
          <cell r="C7">
            <v>261183763</v>
          </cell>
        </row>
        <row r="9">
          <cell r="C9">
            <v>653039019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0.22145476400353095</v>
          </cell>
        </row>
        <row r="9">
          <cell r="I9">
            <v>0.20203033113771579</v>
          </cell>
        </row>
        <row r="11">
          <cell r="I11">
            <v>0.20203033113771579</v>
          </cell>
        </row>
        <row r="13">
          <cell r="I13">
            <v>0.18491064625771947</v>
          </cell>
        </row>
        <row r="16">
          <cell r="I16">
            <v>0.30348013416696074</v>
          </cell>
        </row>
        <row r="18">
          <cell r="I18">
            <v>1.2333145366406806</v>
          </cell>
        </row>
        <row r="21">
          <cell r="I21">
            <v>1.3593744654491595</v>
          </cell>
        </row>
      </sheetData>
      <sheetData sheetId="5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0</v>
          </cell>
          <cell r="D5">
            <v>0</v>
          </cell>
          <cell r="E5">
            <v>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342372417</v>
          </cell>
          <cell r="D6">
            <v>314533331</v>
          </cell>
          <cell r="E6">
            <v>27839086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100452331</v>
          </cell>
          <cell r="D7">
            <v>10851129</v>
          </cell>
          <cell r="E7">
            <v>89601202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101635937</v>
          </cell>
          <cell r="D8">
            <v>10851129</v>
          </cell>
          <cell r="E8">
            <v>90784808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1183606</v>
          </cell>
          <cell r="D9"/>
          <cell r="E9">
            <v>1183606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8006306</v>
          </cell>
          <cell r="D17">
            <v>8006306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8000000</v>
          </cell>
          <cell r="D18">
            <v>8000000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6306</v>
          </cell>
          <cell r="D19">
            <v>6306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50510500</v>
          </cell>
          <cell r="D21">
            <v>50510500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50510500</v>
          </cell>
          <cell r="D22">
            <v>50510500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/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107375000</v>
          </cell>
          <cell r="D24">
            <v>107375000</v>
          </cell>
          <cell r="E24">
            <v>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107375000</v>
          </cell>
          <cell r="D25">
            <v>107375000</v>
          </cell>
          <cell r="E25">
            <v>0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0</v>
          </cell>
          <cell r="D26">
            <v>0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/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/>
          <cell r="E29"/>
        </row>
        <row r="30">
          <cell r="A30">
            <v>10</v>
          </cell>
          <cell r="B30" t="str">
            <v>Асосий воситалар, соф</v>
          </cell>
          <cell r="C30">
            <v>475149338</v>
          </cell>
          <cell r="D30">
            <v>475149338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2622049</v>
          </cell>
          <cell r="D31">
            <v>2622049</v>
          </cell>
          <cell r="E31">
            <v>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801360</v>
          </cell>
          <cell r="D32">
            <v>801360</v>
          </cell>
          <cell r="E32"/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1820689</v>
          </cell>
          <cell r="D33">
            <v>1820689</v>
          </cell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0</v>
          </cell>
          <cell r="D34"/>
          <cell r="E34"/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4353469</v>
          </cell>
          <cell r="D39">
            <v>4353469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1073750</v>
          </cell>
          <cell r="D40">
            <v>1073750</v>
          </cell>
          <cell r="E40"/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3273694</v>
          </cell>
          <cell r="D41">
            <v>3273694</v>
          </cell>
          <cell r="E41"/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6025</v>
          </cell>
          <cell r="D42">
            <v>6025</v>
          </cell>
          <cell r="E42"/>
        </row>
        <row r="43">
          <cell r="A43">
            <v>14</v>
          </cell>
          <cell r="B43" t="str">
            <v>Бошқа активлар, соф</v>
          </cell>
          <cell r="C43">
            <v>238001995</v>
          </cell>
          <cell r="D43">
            <v>182509148</v>
          </cell>
          <cell r="E43">
            <v>55492847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238001995</v>
          </cell>
          <cell r="D44">
            <v>182509148</v>
          </cell>
          <cell r="E44">
            <v>55492847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/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1320136467</v>
          </cell>
          <cell r="D47">
            <v>1147203332</v>
          </cell>
          <cell r="E47">
            <v>172933135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102814158</v>
          </cell>
          <cell r="D50">
            <v>102810362</v>
          </cell>
          <cell r="E50">
            <v>3796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20581973</v>
          </cell>
          <cell r="D51">
            <v>20581973</v>
          </cell>
          <cell r="E51">
            <v>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1863667</v>
          </cell>
          <cell r="D52">
            <v>1863667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160397649</v>
          </cell>
          <cell r="D53">
            <v>65491674</v>
          </cell>
          <cell r="E53">
            <v>94905975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/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/>
          <cell r="E57"/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2766858</v>
          </cell>
          <cell r="D58">
            <v>2512545</v>
          </cell>
          <cell r="E58">
            <v>254313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270329</v>
          </cell>
          <cell r="D59">
            <v>270329</v>
          </cell>
          <cell r="E59"/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/>
          <cell r="E61"/>
        </row>
        <row r="62">
          <cell r="A62" t="str">
            <v>28</v>
          </cell>
          <cell r="B62" t="str">
            <v>Бошқа мажбуриятлар</v>
          </cell>
          <cell r="C62">
            <v>347513848</v>
          </cell>
          <cell r="D62">
            <v>277956646</v>
          </cell>
          <cell r="E62">
            <v>69557202</v>
          </cell>
        </row>
        <row r="63">
          <cell r="A63" t="str">
            <v>29</v>
          </cell>
          <cell r="B63" t="str">
            <v>Жами мажбуриятлар</v>
          </cell>
          <cell r="C63">
            <v>636208482</v>
          </cell>
          <cell r="D63">
            <v>471487196</v>
          </cell>
          <cell r="E63">
            <v>164721286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/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/>
          <cell r="E69"/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/>
        </row>
        <row r="71">
          <cell r="A71" t="str">
            <v>32</v>
          </cell>
          <cell r="B71" t="str">
            <v>Захира капитали</v>
          </cell>
          <cell r="C71">
            <v>49406938</v>
          </cell>
          <cell r="D71">
            <v>49406938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49406938</v>
          </cell>
          <cell r="D72">
            <v>49406938</v>
          </cell>
          <cell r="E72"/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/>
          <cell r="E73"/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/>
        </row>
        <row r="75">
          <cell r="A75" t="str">
            <v>33</v>
          </cell>
          <cell r="B75" t="str">
            <v>Тақсимланмаган фойда</v>
          </cell>
          <cell r="C75">
            <v>134521047</v>
          </cell>
          <cell r="D75">
            <v>134521047</v>
          </cell>
          <cell r="E75"/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30442342</v>
          </cell>
          <cell r="D76">
            <v>30442342</v>
          </cell>
          <cell r="E76"/>
        </row>
        <row r="77">
          <cell r="A77" t="str">
            <v>34</v>
          </cell>
          <cell r="B77" t="str">
            <v>Жами хусусий капитал</v>
          </cell>
          <cell r="C77">
            <v>683927985</v>
          </cell>
          <cell r="D77">
            <v>683927985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1320136467</v>
          </cell>
          <cell r="D78">
            <v>1155415181</v>
          </cell>
          <cell r="E78">
            <v>164721286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5501781</v>
          </cell>
          <cell r="D6">
            <v>5501781</v>
          </cell>
          <cell r="E6"/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  <cell r="D7">
            <v>0</v>
          </cell>
          <cell r="E7"/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  <cell r="E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400000</v>
          </cell>
          <cell r="D9">
            <v>400000</v>
          </cell>
          <cell r="E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  <cell r="E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  <cell r="E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14424891</v>
          </cell>
          <cell r="D12">
            <v>14424891</v>
          </cell>
          <cell r="E12"/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4606236</v>
          </cell>
          <cell r="D13">
            <v>4606236</v>
          </cell>
          <cell r="E13"/>
        </row>
        <row r="14">
          <cell r="B14" t="str">
            <v>Бошқа фоизли даромадлар</v>
          </cell>
          <cell r="C14">
            <v>364585</v>
          </cell>
          <cell r="D14">
            <v>364585</v>
          </cell>
          <cell r="E14"/>
        </row>
        <row r="15">
          <cell r="B15" t="str">
            <v>Жами фоизли даромадлар</v>
          </cell>
          <cell r="C15">
            <v>25297493</v>
          </cell>
          <cell r="D15">
            <v>25297493</v>
          </cell>
          <cell r="E15">
            <v>0</v>
          </cell>
        </row>
        <row r="16">
          <cell r="B16"/>
          <cell r="C16"/>
          <cell r="D16"/>
          <cell r="E16"/>
        </row>
        <row r="17">
          <cell r="B17" t="str">
            <v>ФОИЗЛИ ХAРAЖAТЛAР</v>
          </cell>
          <cell r="C17"/>
          <cell r="D17"/>
          <cell r="E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  <cell r="D18">
            <v>0</v>
          </cell>
          <cell r="E18"/>
        </row>
        <row r="19">
          <cell r="B19" t="str">
            <v>Муддатли депозитлар бўйича фоизли харажатлар</v>
          </cell>
          <cell r="C19">
            <v>1433855</v>
          </cell>
          <cell r="D19">
            <v>1433855</v>
          </cell>
          <cell r="E19"/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  <cell r="E20"/>
        </row>
        <row r="21">
          <cell r="B21" t="str">
            <v>Бошқа банкларнинг ҳисобварақлари бўйича фоизли харажатлар</v>
          </cell>
          <cell r="C21">
            <v>4959285</v>
          </cell>
          <cell r="D21">
            <v>4959285</v>
          </cell>
          <cell r="E21"/>
        </row>
        <row r="22">
          <cell r="B22" t="str">
            <v>Жами депозитлар бўйича фоизли харажатлар</v>
          </cell>
          <cell r="C22">
            <v>6393140</v>
          </cell>
          <cell r="D22">
            <v>6393140</v>
          </cell>
          <cell r="E22">
            <v>0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  <cell r="E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/>
          <cell r="E24"/>
        </row>
        <row r="25">
          <cell r="B25" t="str">
            <v>Бошқа фоизли харажатлар</v>
          </cell>
          <cell r="C25">
            <v>0</v>
          </cell>
          <cell r="D25"/>
          <cell r="E25"/>
        </row>
        <row r="26">
          <cell r="B26" t="str">
            <v>Жами кредит ва бошқа қарздорликлар бўйича фоизли харажатлар</v>
          </cell>
          <cell r="C26">
            <v>0</v>
          </cell>
          <cell r="D26">
            <v>0</v>
          </cell>
          <cell r="E26">
            <v>0</v>
          </cell>
        </row>
        <row r="27">
          <cell r="B27" t="str">
            <v>Жами фоизли харажатлар</v>
          </cell>
          <cell r="C27">
            <v>6393140</v>
          </cell>
          <cell r="D27">
            <v>6393140</v>
          </cell>
          <cell r="E27">
            <v>0</v>
          </cell>
        </row>
        <row r="28">
          <cell r="B28"/>
          <cell r="C28"/>
          <cell r="D28"/>
          <cell r="E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18904353</v>
          </cell>
          <cell r="D29">
            <v>18904353</v>
          </cell>
          <cell r="E29">
            <v>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2474985</v>
          </cell>
          <cell r="D30">
            <v>2474985</v>
          </cell>
          <cell r="E30"/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  <cell r="E31"/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  <cell r="E32"/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494774</v>
          </cell>
          <cell r="D33">
            <v>494774</v>
          </cell>
          <cell r="E33"/>
        </row>
        <row r="34">
          <cell r="B34" t="str">
            <v>Активлар бўйича эҳтимолий зарарларни баҳолашдан кейинги соф даромад</v>
          </cell>
          <cell r="C34">
            <v>15934594</v>
          </cell>
          <cell r="D34">
            <v>15934594</v>
          </cell>
          <cell r="E34">
            <v>0</v>
          </cell>
        </row>
        <row r="35">
          <cell r="B35"/>
          <cell r="C35"/>
          <cell r="D35"/>
          <cell r="E35"/>
        </row>
        <row r="36">
          <cell r="B36" t="str">
            <v>ФОИЗСИЗ ДАРОМАДЛАР</v>
          </cell>
          <cell r="C36"/>
          <cell r="D36"/>
          <cell r="E36"/>
        </row>
        <row r="37">
          <cell r="B37" t="str">
            <v>Кўрсатилган хизматлар ва воситачилик учун олинган даромадлар</v>
          </cell>
          <cell r="C37">
            <v>366821852</v>
          </cell>
          <cell r="D37">
            <v>366821852</v>
          </cell>
          <cell r="E37"/>
        </row>
        <row r="38">
          <cell r="B38" t="str">
            <v>Хорижий валюталардаги фойда</v>
          </cell>
          <cell r="C38">
            <v>181189137</v>
          </cell>
          <cell r="D38">
            <v>181189137</v>
          </cell>
          <cell r="E38"/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  <cell r="E39"/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  <cell r="E40"/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/>
          <cell r="E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  <cell r="E42"/>
        </row>
        <row r="43">
          <cell r="B43" t="str">
            <v>Бошқа фоизсиз даромадлар</v>
          </cell>
          <cell r="C43">
            <v>1708067</v>
          </cell>
          <cell r="D43">
            <v>1708067</v>
          </cell>
          <cell r="E43"/>
        </row>
        <row r="44">
          <cell r="B44" t="str">
            <v>Жами фоизсиз даромадлар</v>
          </cell>
          <cell r="C44">
            <v>549719056</v>
          </cell>
          <cell r="D44">
            <v>549719056</v>
          </cell>
          <cell r="E44">
            <v>0</v>
          </cell>
        </row>
        <row r="45">
          <cell r="B45"/>
          <cell r="C45"/>
          <cell r="D45"/>
          <cell r="E45"/>
        </row>
        <row r="46">
          <cell r="B46" t="str">
            <v>ФОИЗСИЗ ХАРАЖАТЛАР</v>
          </cell>
          <cell r="C46"/>
          <cell r="D46"/>
          <cell r="E46"/>
        </row>
        <row r="47">
          <cell r="B47" t="str">
            <v>Воситачилик ва кўрсатилган хизматлар учун харажатлар</v>
          </cell>
          <cell r="C47">
            <v>237204860</v>
          </cell>
          <cell r="D47">
            <v>237204860</v>
          </cell>
          <cell r="E47"/>
        </row>
        <row r="48">
          <cell r="B48" t="str">
            <v>Хорижий валютада кўрилган зарарлар</v>
          </cell>
          <cell r="C48">
            <v>60351991</v>
          </cell>
          <cell r="D48">
            <v>60351991</v>
          </cell>
          <cell r="E48"/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  <cell r="E49"/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  <cell r="E50"/>
        </row>
        <row r="51">
          <cell r="B51" t="str">
            <v>Бошқа фоизсиз харажатлар</v>
          </cell>
          <cell r="C51">
            <v>98484</v>
          </cell>
          <cell r="D51">
            <v>98484</v>
          </cell>
          <cell r="E51"/>
        </row>
        <row r="52">
          <cell r="B52" t="str">
            <v>Жами фоизсиз харажатлар</v>
          </cell>
          <cell r="C52">
            <v>297655335</v>
          </cell>
          <cell r="D52">
            <v>297655335</v>
          </cell>
          <cell r="E52">
            <v>0</v>
          </cell>
        </row>
        <row r="53">
          <cell r="B53"/>
          <cell r="C53"/>
          <cell r="D53"/>
          <cell r="E53"/>
        </row>
        <row r="54">
          <cell r="B54" t="str">
            <v>ОПЕРАЦИОН ХАРАЖАТЛАРДАН ОЛДИНГИ СОФ ДАРОМАД</v>
          </cell>
          <cell r="C54">
            <v>267998315</v>
          </cell>
          <cell r="D54">
            <v>267998315</v>
          </cell>
          <cell r="E54">
            <v>0</v>
          </cell>
        </row>
        <row r="55">
          <cell r="B55"/>
          <cell r="C55"/>
          <cell r="D55"/>
          <cell r="E55"/>
        </row>
        <row r="56">
          <cell r="B56" t="str">
            <v>ОПЕРАЦИОН ХАРАЖАТЛАР</v>
          </cell>
          <cell r="C56"/>
          <cell r="D56"/>
          <cell r="E56"/>
        </row>
        <row r="57">
          <cell r="B57" t="str">
            <v>Банк хизматчиларига иш ҳақи ва бошқа харажатлар</v>
          </cell>
          <cell r="C57">
            <v>41345272</v>
          </cell>
          <cell r="D57">
            <v>41345272</v>
          </cell>
          <cell r="E57"/>
        </row>
        <row r="58">
          <cell r="B58" t="str">
            <v xml:space="preserve">шундан, раҳбар ходимларга тўловлар </v>
          </cell>
          <cell r="C58">
            <v>2154870</v>
          </cell>
          <cell r="D58">
            <v>2154870</v>
          </cell>
          <cell r="E58"/>
        </row>
        <row r="59">
          <cell r="B59" t="str">
            <v>Ижара ва таъминот харажатлари</v>
          </cell>
          <cell r="C59">
            <v>9604411</v>
          </cell>
          <cell r="D59">
            <v>9604411</v>
          </cell>
          <cell r="E59"/>
        </row>
        <row r="60">
          <cell r="B60" t="str">
            <v>Хизмат сафари ва транспорт харажатлари</v>
          </cell>
          <cell r="C60">
            <v>311788</v>
          </cell>
          <cell r="D60">
            <v>311788</v>
          </cell>
          <cell r="E60"/>
        </row>
        <row r="61">
          <cell r="B61" t="str">
            <v>Маъмурий харажатлар</v>
          </cell>
          <cell r="C61">
            <v>76715438</v>
          </cell>
          <cell r="D61">
            <v>76715438</v>
          </cell>
          <cell r="E61"/>
        </row>
        <row r="62">
          <cell r="B62" t="str">
            <v>Репрезентация ва хайрия</v>
          </cell>
          <cell r="C62">
            <v>2086678</v>
          </cell>
          <cell r="D62">
            <v>2086678</v>
          </cell>
          <cell r="E62"/>
        </row>
        <row r="63">
          <cell r="B63" t="str">
            <v>Эскириш харажатлари</v>
          </cell>
          <cell r="C63">
            <v>52656910</v>
          </cell>
          <cell r="D63">
            <v>52656910</v>
          </cell>
          <cell r="E63"/>
        </row>
        <row r="64">
          <cell r="B64" t="str">
            <v>Суғурта харажатлари</v>
          </cell>
          <cell r="C64">
            <v>12360</v>
          </cell>
          <cell r="D64">
            <v>12360</v>
          </cell>
          <cell r="E64"/>
        </row>
        <row r="65">
          <cell r="B65" t="str">
            <v>Солиқлар (фойда солиғидан ташқари) ва лицензиялар</v>
          </cell>
          <cell r="C65">
            <v>3722403</v>
          </cell>
          <cell r="D65">
            <v>3722403</v>
          </cell>
          <cell r="E65"/>
        </row>
        <row r="66">
          <cell r="B66" t="str">
            <v>Жарима ва пенялар</v>
          </cell>
          <cell r="C66">
            <v>27733</v>
          </cell>
          <cell r="D66">
            <v>27733</v>
          </cell>
          <cell r="E66"/>
        </row>
        <row r="67">
          <cell r="B67" t="str">
            <v>Бошқа операцион харажатлар</v>
          </cell>
          <cell r="C67">
            <v>38812955</v>
          </cell>
          <cell r="D67">
            <v>38812955</v>
          </cell>
          <cell r="E67"/>
        </row>
        <row r="68">
          <cell r="B68" t="str">
            <v>Жами операцион харажатлар</v>
          </cell>
          <cell r="C68">
            <v>225295948</v>
          </cell>
          <cell r="D68">
            <v>225295948</v>
          </cell>
          <cell r="E68"/>
        </row>
        <row r="69">
          <cell r="B69" t="str">
            <v xml:space="preserve">  </v>
          </cell>
          <cell r="C69"/>
          <cell r="D69"/>
          <cell r="E69"/>
        </row>
        <row r="70">
          <cell r="B70" t="str">
            <v xml:space="preserve">Солиқ тўлангунга қадар соф фойда ва бошқа тузатишлар </v>
          </cell>
          <cell r="C70">
            <v>42702367</v>
          </cell>
          <cell r="D70">
            <v>42702367</v>
          </cell>
          <cell r="E70">
            <v>0</v>
          </cell>
        </row>
        <row r="71">
          <cell r="B71" t="str">
            <v>Фойда солиғини баҳолаш</v>
          </cell>
          <cell r="C71">
            <v>12260025</v>
          </cell>
          <cell r="D71">
            <v>12260025</v>
          </cell>
          <cell r="E71"/>
        </row>
        <row r="72">
          <cell r="B72"/>
          <cell r="C72"/>
          <cell r="D72"/>
          <cell r="E72"/>
        </row>
        <row r="73">
          <cell r="B73" t="str">
            <v>ТУЗАТИШЛАР КИРИТИЛГУНГА ҚАДАР ДАРОМАД</v>
          </cell>
          <cell r="C73">
            <v>30442342</v>
          </cell>
          <cell r="D73">
            <v>30442342</v>
          </cell>
          <cell r="E73">
            <v>0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/>
          <cell r="E74"/>
        </row>
        <row r="75">
          <cell r="B75" t="str">
            <v>Фойда бўйича тузатишлар, соф</v>
          </cell>
          <cell r="C75">
            <v>0</v>
          </cell>
          <cell r="D75"/>
          <cell r="E75"/>
        </row>
        <row r="76">
          <cell r="B76"/>
          <cell r="C76"/>
          <cell r="D76"/>
          <cell r="E76"/>
        </row>
        <row r="77">
          <cell r="B77" t="str">
            <v>СОФ ФОЙДА (ЗАРАР)</v>
          </cell>
          <cell r="C77">
            <v>30442342</v>
          </cell>
          <cell r="D77">
            <v>30442342</v>
          </cell>
          <cell r="E77">
            <v>0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342372417</v>
          </cell>
        </row>
        <row r="9">
          <cell r="C9">
            <v>73456623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0.63595627630424834</v>
          </cell>
        </row>
        <row r="9">
          <cell r="I9">
            <v>0.60380566130220725</v>
          </cell>
        </row>
        <row r="11">
          <cell r="I11">
            <v>0.60380566130220725</v>
          </cell>
        </row>
        <row r="13">
          <cell r="I13">
            <v>0.49501301864903519</v>
          </cell>
        </row>
        <row r="16">
          <cell r="I16">
            <v>0.34334103127233739</v>
          </cell>
        </row>
        <row r="18">
          <cell r="I18">
            <v>1.3313092101262598</v>
          </cell>
        </row>
        <row r="21">
          <cell r="I21">
            <v>1.4194917250408545</v>
          </cell>
        </row>
      </sheetData>
      <sheetData sheetId="5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17"/>
      <sheetName val="18"/>
      <sheetName val="3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0</v>
          </cell>
          <cell r="D5">
            <v>0</v>
          </cell>
          <cell r="E5">
            <v>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130006592</v>
          </cell>
          <cell r="D6">
            <v>130006592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574858630</v>
          </cell>
          <cell r="D7">
            <v>558000000</v>
          </cell>
          <cell r="E7">
            <v>16858630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574858630</v>
          </cell>
          <cell r="D8">
            <v>558000000</v>
          </cell>
          <cell r="E8">
            <v>16858630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/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100000</v>
          </cell>
          <cell r="D17">
            <v>100000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100000</v>
          </cell>
          <cell r="D18">
            <v>100000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62545970</v>
          </cell>
          <cell r="D24">
            <v>13660049</v>
          </cell>
          <cell r="E24">
            <v>48885921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62924759</v>
          </cell>
          <cell r="D25">
            <v>14038838</v>
          </cell>
          <cell r="E25">
            <v>48885921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378789</v>
          </cell>
          <cell r="D26">
            <v>378789</v>
          </cell>
          <cell r="E26"/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2934743</v>
          </cell>
          <cell r="D30">
            <v>2934743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0</v>
          </cell>
          <cell r="D32"/>
          <cell r="E32"/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0</v>
          </cell>
          <cell r="D33"/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0</v>
          </cell>
          <cell r="D34"/>
          <cell r="E34"/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6899918</v>
          </cell>
          <cell r="D39">
            <v>6899918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649918</v>
          </cell>
          <cell r="D40">
            <v>649918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6250000</v>
          </cell>
          <cell r="D41">
            <v>6250000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0</v>
          </cell>
          <cell r="D42"/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471889897</v>
          </cell>
          <cell r="D43">
            <v>471889402</v>
          </cell>
          <cell r="E43">
            <v>495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472038666</v>
          </cell>
          <cell r="D44">
            <v>472038171</v>
          </cell>
          <cell r="E44">
            <v>495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-148769</v>
          </cell>
          <cell r="D46">
            <v>-148769</v>
          </cell>
          <cell r="E46"/>
        </row>
        <row r="47">
          <cell r="A47" t="str">
            <v>15</v>
          </cell>
          <cell r="B47" t="str">
            <v>Жами активлар</v>
          </cell>
          <cell r="C47">
            <v>1235435914</v>
          </cell>
          <cell r="D47">
            <v>1169690868</v>
          </cell>
          <cell r="E47">
            <v>65745046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22947958</v>
          </cell>
          <cell r="D50">
            <v>22890160</v>
          </cell>
          <cell r="E50">
            <v>57798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0</v>
          </cell>
          <cell r="D51">
            <v>0</v>
          </cell>
          <cell r="E51">
            <v>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320489</v>
          </cell>
          <cell r="D52">
            <v>320489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650738640</v>
          </cell>
          <cell r="D53">
            <v>650656302</v>
          </cell>
          <cell r="E53">
            <v>82338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48892751</v>
          </cell>
          <cell r="D55"/>
          <cell r="E55">
            <v>48892751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0</v>
          </cell>
          <cell r="D58">
            <v>0</v>
          </cell>
          <cell r="E58">
            <v>0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339211</v>
          </cell>
          <cell r="D59">
            <v>339211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11682</v>
          </cell>
          <cell r="D60">
            <v>11682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/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4545422</v>
          </cell>
          <cell r="D62">
            <v>3918005</v>
          </cell>
          <cell r="E62">
            <v>627417</v>
          </cell>
        </row>
        <row r="63">
          <cell r="A63" t="str">
            <v>29</v>
          </cell>
          <cell r="B63" t="str">
            <v>Жами мажбуриятлар</v>
          </cell>
          <cell r="C63">
            <v>727796153</v>
          </cell>
          <cell r="D63">
            <v>678135849</v>
          </cell>
          <cell r="E63">
            <v>49660304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336126</v>
          </cell>
          <cell r="D71">
            <v>336126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336126</v>
          </cell>
          <cell r="D72">
            <v>336126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7303635</v>
          </cell>
          <cell r="D75">
            <v>7303635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2440635</v>
          </cell>
          <cell r="D76">
            <v>2440635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507639761</v>
          </cell>
          <cell r="D77">
            <v>507639761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1235435914</v>
          </cell>
          <cell r="D78">
            <v>1185775610</v>
          </cell>
          <cell r="E78">
            <v>49660304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7">
          <cell r="C7">
            <v>130006592</v>
          </cell>
        </row>
        <row r="9">
          <cell r="C9">
            <v>16858630</v>
          </cell>
          <cell r="E9">
            <v>315000000</v>
          </cell>
          <cell r="G9">
            <v>0</v>
          </cell>
        </row>
      </sheetData>
      <sheetData sheetId="2"/>
      <sheetData sheetId="3">
        <row r="6">
          <cell r="B6" t="str">
            <v>Марказий банкдаги ҳисобварақлар бўйича фоизли даромадлар</v>
          </cell>
          <cell r="C6">
            <v>0</v>
          </cell>
          <cell r="D6"/>
        </row>
        <row r="7">
          <cell r="B7" t="str">
            <v>Бошқа банклардаги ҳисобварақлар бўйича фоизли даромадлар</v>
          </cell>
          <cell r="C7">
            <v>0</v>
          </cell>
          <cell r="D7"/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/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0</v>
          </cell>
          <cell r="D9"/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/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/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0</v>
          </cell>
          <cell r="D12"/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/>
        </row>
        <row r="14">
          <cell r="B14" t="str">
            <v>Бошқа фоизли даромадлар</v>
          </cell>
          <cell r="C14">
            <v>0</v>
          </cell>
          <cell r="D14"/>
        </row>
        <row r="15">
          <cell r="B15" t="str">
            <v>Жами фоизли даромадлар</v>
          </cell>
          <cell r="C15">
            <v>0</v>
          </cell>
          <cell r="D15">
            <v>0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  <cell r="D18"/>
        </row>
        <row r="19">
          <cell r="B19" t="str">
            <v>Муддатли депозитлар бўйича фоизли харажатлар</v>
          </cell>
          <cell r="C19">
            <v>0</v>
          </cell>
          <cell r="D19"/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/>
        </row>
        <row r="21">
          <cell r="B21" t="str">
            <v>Бошқа банкларнинг ҳисобварақлари бўйича фоизли харажатлар</v>
          </cell>
          <cell r="C21">
            <v>0</v>
          </cell>
          <cell r="D21"/>
        </row>
        <row r="22">
          <cell r="B22" t="str">
            <v>Жами депозитлар бўйича фоизли харажатлар</v>
          </cell>
          <cell r="C22">
            <v>0</v>
          </cell>
          <cell r="D22">
            <v>0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/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/>
        </row>
        <row r="25">
          <cell r="B25" t="str">
            <v>Бошқа фоизли харажатлар</v>
          </cell>
          <cell r="C25">
            <v>0</v>
          </cell>
          <cell r="D25"/>
        </row>
        <row r="26">
          <cell r="B26" t="str">
            <v>Жами кредит ва бошқа қарздорликлар бўйича фоизли харажатлар</v>
          </cell>
          <cell r="C26">
            <v>0</v>
          </cell>
          <cell r="D26">
            <v>0</v>
          </cell>
        </row>
        <row r="27">
          <cell r="B27" t="str">
            <v>Жами фоизли харажатлар</v>
          </cell>
          <cell r="C27">
            <v>0</v>
          </cell>
          <cell r="D27">
            <v>0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0</v>
          </cell>
          <cell r="D29">
            <v>0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441497</v>
          </cell>
          <cell r="D30">
            <v>441497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1570001</v>
          </cell>
          <cell r="D33">
            <v>1570001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-2011498</v>
          </cell>
          <cell r="D34">
            <v>-2011498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57995071</v>
          </cell>
          <cell r="D37">
            <v>57995071</v>
          </cell>
        </row>
        <row r="38">
          <cell r="B38" t="str">
            <v>Хорижий валюталардаги фойда</v>
          </cell>
          <cell r="C38">
            <v>2933646</v>
          </cell>
          <cell r="D38">
            <v>2933646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  <cell r="D41"/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</row>
        <row r="43">
          <cell r="B43" t="str">
            <v>Бошқа фоизсиз даромадлар</v>
          </cell>
          <cell r="C43">
            <v>844487</v>
          </cell>
          <cell r="D43">
            <v>844487</v>
          </cell>
        </row>
        <row r="44">
          <cell r="B44" t="str">
            <v>Жами фоизсиз даромадлар</v>
          </cell>
          <cell r="C44">
            <v>61773204</v>
          </cell>
          <cell r="D44">
            <v>61773204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28043939</v>
          </cell>
          <cell r="D47">
            <v>28043939</v>
          </cell>
        </row>
        <row r="48">
          <cell r="B48" t="str">
            <v>Хорижий валютада кўрилган зарарлар</v>
          </cell>
          <cell r="C48">
            <v>1537267</v>
          </cell>
          <cell r="D48">
            <v>1537267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0</v>
          </cell>
          <cell r="D51">
            <v>0</v>
          </cell>
        </row>
        <row r="52">
          <cell r="B52" t="str">
            <v>Жами фоизсиз харажатлар</v>
          </cell>
          <cell r="C52">
            <v>29581206</v>
          </cell>
          <cell r="D52">
            <v>29581206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30180500</v>
          </cell>
          <cell r="D54">
            <v>30180500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21136296</v>
          </cell>
          <cell r="D57">
            <v>21136296</v>
          </cell>
        </row>
        <row r="58">
          <cell r="B58" t="str">
            <v xml:space="preserve">шундан, раҳбар ходимларга тўловлар </v>
          </cell>
          <cell r="C58">
            <v>3650854</v>
          </cell>
          <cell r="D58">
            <v>3650854</v>
          </cell>
        </row>
        <row r="59">
          <cell r="B59" t="str">
            <v>Ижара ва таъминот харажатлари</v>
          </cell>
          <cell r="C59">
            <v>887969</v>
          </cell>
          <cell r="D59">
            <v>887969</v>
          </cell>
        </row>
        <row r="60">
          <cell r="B60" t="str">
            <v>Хизмат сафари ва транспорт харажатлари</v>
          </cell>
          <cell r="C60">
            <v>252725</v>
          </cell>
          <cell r="D60">
            <v>252725</v>
          </cell>
        </row>
        <row r="61">
          <cell r="B61" t="str">
            <v>Маъмурий харажатлар</v>
          </cell>
          <cell r="C61">
            <v>3643987</v>
          </cell>
          <cell r="D61">
            <v>3643987</v>
          </cell>
        </row>
        <row r="62">
          <cell r="B62" t="str">
            <v>Репрезентация ва хайрия</v>
          </cell>
          <cell r="C62">
            <v>98357</v>
          </cell>
          <cell r="D62">
            <v>98357</v>
          </cell>
        </row>
        <row r="63">
          <cell r="B63" t="str">
            <v>Эскириш харажатлари</v>
          </cell>
          <cell r="C63">
            <v>110591</v>
          </cell>
          <cell r="D63">
            <v>110591</v>
          </cell>
        </row>
        <row r="64">
          <cell r="B64" t="str">
            <v>Суғурта харажатлари</v>
          </cell>
          <cell r="C64"/>
          <cell r="D64"/>
        </row>
        <row r="65">
          <cell r="B65" t="str">
            <v>Солиқлар (фойда солиғидан ташқари) ва лицензиялар</v>
          </cell>
          <cell r="C65">
            <v>550024</v>
          </cell>
          <cell r="D65">
            <v>550024</v>
          </cell>
        </row>
        <row r="66">
          <cell r="B66" t="str">
            <v>Жарима ва пенялар</v>
          </cell>
          <cell r="C66"/>
          <cell r="D66"/>
        </row>
        <row r="67">
          <cell r="B67" t="str">
            <v>Бошқа операцион харажатлар</v>
          </cell>
          <cell r="C67">
            <v>629916</v>
          </cell>
          <cell r="D67">
            <v>629916</v>
          </cell>
        </row>
        <row r="68">
          <cell r="B68" t="str">
            <v>Жами операцион харажатлар</v>
          </cell>
          <cell r="C68">
            <v>27309865</v>
          </cell>
          <cell r="D68">
            <v>27309865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2870635</v>
          </cell>
          <cell r="D70">
            <v>2870635</v>
          </cell>
        </row>
        <row r="71">
          <cell r="B71" t="str">
            <v>Фойда солиғини баҳолаш</v>
          </cell>
          <cell r="C71">
            <v>430000</v>
          </cell>
          <cell r="D71">
            <v>430000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2440635</v>
          </cell>
          <cell r="D73">
            <v>2440635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2440635</v>
          </cell>
          <cell r="D77">
            <v>2440635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4">
        <row r="7">
          <cell r="I7">
            <v>0.76323928951549225</v>
          </cell>
        </row>
        <row r="9">
          <cell r="I9">
            <v>0.7493840372844941</v>
          </cell>
        </row>
        <row r="11">
          <cell r="I11">
            <v>0.7493840372844941</v>
          </cell>
        </row>
        <row r="13">
          <cell r="I13">
            <v>0.40892378169929094</v>
          </cell>
        </row>
        <row r="16">
          <cell r="I16">
            <v>0.11861783467628738</v>
          </cell>
        </row>
        <row r="18">
          <cell r="I18">
            <v>37.212793154123567</v>
          </cell>
        </row>
        <row r="21">
          <cell r="I21">
            <v>4.5318944861387722</v>
          </cell>
        </row>
      </sheetData>
      <sheetData sheetId="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1-жадвал"/>
      <sheetName val="3-жадвал"/>
      <sheetName val="17-жадвал"/>
      <sheetName val="18-жадвал"/>
      <sheetName val="22-жадвал"/>
      <sheetName val="23-жадвал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230430879</v>
          </cell>
          <cell r="D5">
            <v>188714221</v>
          </cell>
          <cell r="E5">
            <v>41716658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118310303</v>
          </cell>
          <cell r="D6">
            <v>68579572</v>
          </cell>
          <cell r="E6">
            <v>49730731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437034608</v>
          </cell>
          <cell r="D7">
            <v>217963384</v>
          </cell>
          <cell r="E7">
            <v>219071224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437034608</v>
          </cell>
          <cell r="D8">
            <v>217963384</v>
          </cell>
          <cell r="E8">
            <v>219071224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16386461</v>
          </cell>
          <cell r="D10">
            <v>16386461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17000000</v>
          </cell>
          <cell r="D11">
            <v>17000000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-613539</v>
          </cell>
          <cell r="D12">
            <v>-613539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19831714</v>
          </cell>
          <cell r="D17">
            <v>19831714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19831714</v>
          </cell>
          <cell r="D18">
            <v>19831714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333844949</v>
          </cell>
          <cell r="D24">
            <v>324971848</v>
          </cell>
          <cell r="E24">
            <v>8873101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339011139</v>
          </cell>
          <cell r="D25">
            <v>330138038</v>
          </cell>
          <cell r="E25">
            <v>8873101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5166190</v>
          </cell>
          <cell r="D26">
            <v>5166190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552052956</v>
          </cell>
          <cell r="D30">
            <v>552052956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6909042</v>
          </cell>
          <cell r="D31">
            <v>6616864</v>
          </cell>
          <cell r="E31">
            <v>292178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7053770</v>
          </cell>
          <cell r="D32">
            <v>6761592</v>
          </cell>
          <cell r="E32">
            <v>292178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816</v>
          </cell>
          <cell r="D33">
            <v>816</v>
          </cell>
          <cell r="E33"/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145544</v>
          </cell>
          <cell r="D34">
            <v>145544</v>
          </cell>
          <cell r="E34"/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20983963</v>
          </cell>
          <cell r="D35">
            <v>20983963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19594814</v>
          </cell>
          <cell r="D36">
            <v>19594814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1389149</v>
          </cell>
          <cell r="D37">
            <v>1389149</v>
          </cell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8841941</v>
          </cell>
          <cell r="D39">
            <v>8752863</v>
          </cell>
          <cell r="E39">
            <v>89078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2873492</v>
          </cell>
          <cell r="D40">
            <v>2784761</v>
          </cell>
          <cell r="E40">
            <v>88731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5933885</v>
          </cell>
          <cell r="D41">
            <v>5933885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34564</v>
          </cell>
          <cell r="D42">
            <v>34217</v>
          </cell>
          <cell r="E42">
            <v>347</v>
          </cell>
        </row>
        <row r="43">
          <cell r="A43">
            <v>14</v>
          </cell>
          <cell r="B43" t="str">
            <v>Бошқа активлар, соф</v>
          </cell>
          <cell r="C43">
            <v>115538300</v>
          </cell>
          <cell r="D43">
            <v>113363796</v>
          </cell>
          <cell r="E43">
            <v>2174504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115538300</v>
          </cell>
          <cell r="D44">
            <v>113363796</v>
          </cell>
          <cell r="E44">
            <v>2174504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/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1842481234</v>
          </cell>
          <cell r="D47">
            <v>1520711916</v>
          </cell>
          <cell r="E47">
            <v>321769318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389190155</v>
          </cell>
          <cell r="D50">
            <v>247024547</v>
          </cell>
          <cell r="E50">
            <v>142165608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685277619</v>
          </cell>
          <cell r="D51">
            <v>573407517</v>
          </cell>
          <cell r="E51">
            <v>111870102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2141121</v>
          </cell>
          <cell r="D52">
            <v>2141121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209002157</v>
          </cell>
          <cell r="D53">
            <v>209002157</v>
          </cell>
          <cell r="E53">
            <v>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2910748</v>
          </cell>
          <cell r="D58">
            <v>2257301</v>
          </cell>
          <cell r="E58">
            <v>653447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97164</v>
          </cell>
          <cell r="D59">
            <v>97164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188653</v>
          </cell>
          <cell r="D61">
            <v>188653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204216967</v>
          </cell>
          <cell r="D62">
            <v>66203274</v>
          </cell>
          <cell r="E62">
            <v>138013693</v>
          </cell>
        </row>
        <row r="63">
          <cell r="A63" t="str">
            <v>29</v>
          </cell>
          <cell r="B63" t="str">
            <v>Жами мажбуриятлар</v>
          </cell>
          <cell r="C63">
            <v>1493024584</v>
          </cell>
          <cell r="D63">
            <v>1100321734</v>
          </cell>
          <cell r="E63">
            <v>392702850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0</v>
          </cell>
          <cell r="D71">
            <v>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0</v>
          </cell>
          <cell r="D72"/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-150543350</v>
          </cell>
          <cell r="D75">
            <v>-150543350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-62410994</v>
          </cell>
          <cell r="D76">
            <v>-62410994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349456650</v>
          </cell>
          <cell r="D77">
            <v>349456650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1842481234</v>
          </cell>
          <cell r="D78">
            <v>1449778384</v>
          </cell>
          <cell r="E78">
            <v>392702850</v>
          </cell>
        </row>
        <row r="80">
          <cell r="B80"/>
        </row>
        <row r="81">
          <cell r="B81"/>
        </row>
        <row r="83">
          <cell r="A83"/>
          <cell r="B83"/>
          <cell r="C83">
            <v>0</v>
          </cell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3012644</v>
          </cell>
        </row>
        <row r="7">
          <cell r="B7" t="str">
            <v>Бошқа банклардаги ҳисобварақлар бўйича фоизли даромадлар</v>
          </cell>
          <cell r="C7">
            <v>1915054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329767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1319068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33711575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0</v>
          </cell>
        </row>
        <row r="15">
          <cell r="B15" t="str">
            <v>Жами фоизли даромадлар</v>
          </cell>
          <cell r="C15">
            <v>40288108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</row>
        <row r="19">
          <cell r="B19" t="str">
            <v>Муддатли депозитлар бўйича фоизли харажатлар</v>
          </cell>
          <cell r="C19">
            <v>28656438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19781638</v>
          </cell>
        </row>
        <row r="22">
          <cell r="B22" t="str">
            <v>Жами депозитлар бўйича фоизли харажатлар</v>
          </cell>
          <cell r="C22">
            <v>48438076</v>
          </cell>
        </row>
        <row r="23">
          <cell r="B23" t="str">
            <v>Кредитлар бўйича фоизли харажатлар</v>
          </cell>
          <cell r="C23">
            <v>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509880</v>
          </cell>
        </row>
        <row r="25">
          <cell r="B25" t="str">
            <v>Бошқа фоизли харажатлар</v>
          </cell>
          <cell r="C25">
            <v>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509880</v>
          </cell>
        </row>
        <row r="27">
          <cell r="B27" t="str">
            <v>Жами фоизли харажатлар</v>
          </cell>
          <cell r="C27">
            <v>48947956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-8659848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6366517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4262982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-19289347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19356134</v>
          </cell>
        </row>
        <row r="38">
          <cell r="B38" t="str">
            <v>Хорижий валюталардаги фойда</v>
          </cell>
          <cell r="C38">
            <v>20731413</v>
          </cell>
        </row>
        <row r="39">
          <cell r="B39" t="str">
            <v>Тижорат операцияларидан олинган фойда</v>
          </cell>
          <cell r="C39">
            <v>133199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469306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</row>
        <row r="43">
          <cell r="B43" t="str">
            <v>Бошқа фоизсиз даромадлар</v>
          </cell>
          <cell r="C43">
            <v>312341</v>
          </cell>
        </row>
        <row r="44">
          <cell r="B44" t="str">
            <v>Жами фоизсиз даромадлар</v>
          </cell>
          <cell r="C44">
            <v>41002393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9633656</v>
          </cell>
        </row>
        <row r="48">
          <cell r="B48" t="str">
            <v>Хорижий валютада кўрилган зарарлар</v>
          </cell>
          <cell r="C48">
            <v>10312314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0</v>
          </cell>
        </row>
        <row r="52">
          <cell r="B52" t="str">
            <v>Жами фоизсиз харажатлар</v>
          </cell>
          <cell r="C52">
            <v>19945970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1767076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41684586</v>
          </cell>
        </row>
        <row r="58">
          <cell r="B58" t="str">
            <v xml:space="preserve">шундан, раҳбар ходимларга тўловлар </v>
          </cell>
          <cell r="C58">
            <v>3287325</v>
          </cell>
        </row>
        <row r="59">
          <cell r="B59" t="str">
            <v>Ижара ва таъминот харажатлари</v>
          </cell>
          <cell r="C59">
            <v>6049492</v>
          </cell>
        </row>
        <row r="60">
          <cell r="B60" t="str">
            <v>Хизмат сафари ва транспорт харажатлари</v>
          </cell>
          <cell r="C60">
            <v>343107</v>
          </cell>
        </row>
        <row r="61">
          <cell r="B61" t="str">
            <v>Маъмурий харажатлар</v>
          </cell>
          <cell r="C61">
            <v>4275643</v>
          </cell>
        </row>
        <row r="62">
          <cell r="B62" t="str">
            <v>Репрезентация ва хайрия</v>
          </cell>
          <cell r="C62">
            <v>139419</v>
          </cell>
        </row>
        <row r="63">
          <cell r="B63" t="str">
            <v>Эскириш харажатлари</v>
          </cell>
          <cell r="C63">
            <v>7366011</v>
          </cell>
        </row>
        <row r="64">
          <cell r="B64" t="str">
            <v>Суғурта харажатлари</v>
          </cell>
          <cell r="C64">
            <v>26870</v>
          </cell>
        </row>
        <row r="65">
          <cell r="B65" t="str">
            <v>Солиқлар (фойда солиғидан ташқари) ва лицензиялар</v>
          </cell>
          <cell r="C65">
            <v>1108502</v>
          </cell>
        </row>
        <row r="66">
          <cell r="B66" t="str">
            <v>Жарима ва пенялар</v>
          </cell>
          <cell r="C66">
            <v>77</v>
          </cell>
        </row>
        <row r="67">
          <cell r="B67" t="str">
            <v>Бошқа операцион харажатлар</v>
          </cell>
          <cell r="C67">
            <v>3183905</v>
          </cell>
        </row>
        <row r="68">
          <cell r="B68" t="str">
            <v>Жами операцион харажатлар</v>
          </cell>
          <cell r="C68">
            <v>64177612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-62410536</v>
          </cell>
        </row>
        <row r="71">
          <cell r="B71" t="str">
            <v>Фойда солиғини баҳолаш</v>
          </cell>
          <cell r="C71">
            <v>458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-62410994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-62410994</v>
          </cell>
        </row>
      </sheetData>
      <sheetData sheetId="2">
        <row r="7">
          <cell r="C7">
            <v>68310303</v>
          </cell>
        </row>
        <row r="9">
          <cell r="C9">
            <v>147857947</v>
          </cell>
          <cell r="E9">
            <v>190000000</v>
          </cell>
          <cell r="G9">
            <v>0</v>
          </cell>
        </row>
      </sheetData>
      <sheetData sheetId="3"/>
      <sheetData sheetId="4">
        <row r="7">
          <cell r="I7">
            <v>0.23103376323770733</v>
          </cell>
        </row>
        <row r="9">
          <cell r="I9">
            <v>0.22493436558819455</v>
          </cell>
        </row>
        <row r="11">
          <cell r="I11">
            <v>0.22493436558819455</v>
          </cell>
        </row>
        <row r="13">
          <cell r="I13">
            <v>0.17368109847088647</v>
          </cell>
        </row>
        <row r="16">
          <cell r="I16">
            <v>0.27460950248136962</v>
          </cell>
        </row>
        <row r="18">
          <cell r="I18">
            <v>5.4362389881808815</v>
          </cell>
        </row>
        <row r="21">
          <cell r="I21">
            <v>1.4579460566339335</v>
          </cell>
        </row>
      </sheetData>
      <sheetData sheetId="5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Assets"/>
      <sheetName val="Liabilities"/>
      <sheetName val="Income"/>
      <sheetName val="Normatives"/>
      <sheetName val="Clients+Staff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159239505</v>
          </cell>
          <cell r="D5">
            <v>126209642</v>
          </cell>
          <cell r="E5">
            <v>33029863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303097764</v>
          </cell>
          <cell r="D6">
            <v>268931613</v>
          </cell>
          <cell r="E6">
            <v>34166151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286083730</v>
          </cell>
          <cell r="D7">
            <v>40879</v>
          </cell>
          <cell r="E7">
            <v>286042851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286298219</v>
          </cell>
          <cell r="D8">
            <v>40879</v>
          </cell>
          <cell r="E8">
            <v>286257340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214489</v>
          </cell>
          <cell r="D9">
            <v>0</v>
          </cell>
          <cell r="E9">
            <v>214489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20000000</v>
          </cell>
          <cell r="D17">
            <v>20000000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20000000</v>
          </cell>
          <cell r="D18">
            <v>20000000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2750985939</v>
          </cell>
          <cell r="D24">
            <v>2554458407</v>
          </cell>
          <cell r="E24">
            <v>196527532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2763160682</v>
          </cell>
          <cell r="D25">
            <v>2566633150</v>
          </cell>
          <cell r="E25">
            <v>196527532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12174743</v>
          </cell>
          <cell r="D26">
            <v>12174743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152291976</v>
          </cell>
          <cell r="D30">
            <v>152291976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68509844</v>
          </cell>
          <cell r="D31">
            <v>66273459</v>
          </cell>
          <cell r="E31">
            <v>2236385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64853517</v>
          </cell>
          <cell r="D32">
            <v>62657782</v>
          </cell>
          <cell r="E32">
            <v>2195735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4764427</v>
          </cell>
          <cell r="D33">
            <v>4723777</v>
          </cell>
          <cell r="E33">
            <v>40650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1108100</v>
          </cell>
          <cell r="D34">
            <v>1108100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279572</v>
          </cell>
          <cell r="D35">
            <v>279572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279572</v>
          </cell>
          <cell r="D36">
            <v>279572</v>
          </cell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28739793</v>
          </cell>
          <cell r="D39">
            <v>28739793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26820973</v>
          </cell>
          <cell r="D40">
            <v>26820973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1293800</v>
          </cell>
          <cell r="D41">
            <v>1293800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625020</v>
          </cell>
          <cell r="D42">
            <v>625020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83648350</v>
          </cell>
          <cell r="D43">
            <v>83443583</v>
          </cell>
          <cell r="E43">
            <v>204767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84263590</v>
          </cell>
          <cell r="D44">
            <v>84058823</v>
          </cell>
          <cell r="E44">
            <v>204767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615240</v>
          </cell>
          <cell r="D45">
            <v>615240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3795396887</v>
          </cell>
          <cell r="D47">
            <v>3243189338</v>
          </cell>
          <cell r="E47">
            <v>552207549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521112051</v>
          </cell>
          <cell r="D50">
            <v>250180080</v>
          </cell>
          <cell r="E50">
            <v>270931971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1954248340</v>
          </cell>
          <cell r="D51">
            <v>1853899441</v>
          </cell>
          <cell r="E51">
            <v>100348899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33083765</v>
          </cell>
          <cell r="D52">
            <v>33083765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744539359</v>
          </cell>
          <cell r="D53">
            <v>609000713</v>
          </cell>
          <cell r="E53">
            <v>135538646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17186577</v>
          </cell>
          <cell r="D58">
            <v>16271264</v>
          </cell>
          <cell r="E58">
            <v>915313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1238944</v>
          </cell>
          <cell r="D59">
            <v>1238944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61987</v>
          </cell>
          <cell r="D60">
            <v>61987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126876</v>
          </cell>
          <cell r="D61">
            <v>126876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38507929</v>
          </cell>
          <cell r="D62">
            <v>25280062</v>
          </cell>
          <cell r="E62">
            <v>13227867</v>
          </cell>
        </row>
        <row r="63">
          <cell r="A63" t="str">
            <v>29</v>
          </cell>
          <cell r="B63" t="str">
            <v>Жами мажбуриятлар</v>
          </cell>
          <cell r="C63">
            <v>3310105828</v>
          </cell>
          <cell r="D63">
            <v>2789143132</v>
          </cell>
          <cell r="E63">
            <v>520962696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500000000</v>
          </cell>
          <cell r="D67">
            <v>500000000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500000000</v>
          </cell>
          <cell r="D68">
            <v>500000000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0</v>
          </cell>
          <cell r="D71">
            <v>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0</v>
          </cell>
          <cell r="D72"/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-14708941</v>
          </cell>
          <cell r="D75">
            <v>-14708941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25267806</v>
          </cell>
          <cell r="D76">
            <v>25267806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485291059</v>
          </cell>
          <cell r="D77">
            <v>485291059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3795396887</v>
          </cell>
          <cell r="D78">
            <v>3274434191</v>
          </cell>
          <cell r="E78">
            <v>520962696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7">
          <cell r="C7">
            <v>303097764</v>
          </cell>
        </row>
        <row r="9">
          <cell r="C9">
            <v>42053738</v>
          </cell>
          <cell r="E9">
            <v>3981146</v>
          </cell>
          <cell r="G9">
            <v>0</v>
          </cell>
        </row>
      </sheetData>
      <sheetData sheetId="2"/>
      <sheetData sheetId="3">
        <row r="5">
          <cell r="B5" t="str">
            <v>ФОИЗЛИ ДАРОМАДЛАР</v>
          </cell>
          <cell r="C5"/>
        </row>
        <row r="6">
          <cell r="B6" t="str">
            <v>Марказий банкдаги ҳисобварақлар бўйича фоизли даромадлар</v>
          </cell>
          <cell r="C6">
            <v>2188973</v>
          </cell>
        </row>
        <row r="7">
          <cell r="B7" t="str">
            <v>Бошқа банклардаги ҳисобварақлар бўйича фоизли даромадлар</v>
          </cell>
          <cell r="C7">
            <v>6515368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232280100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</row>
        <row r="14">
          <cell r="B14" t="str">
            <v>Бошқа фоизли даромадлар</v>
          </cell>
          <cell r="C14">
            <v>0</v>
          </cell>
        </row>
        <row r="15">
          <cell r="B15" t="str">
            <v>Жами фоизли даромадлар</v>
          </cell>
          <cell r="C15">
            <v>240984441</v>
          </cell>
        </row>
        <row r="16">
          <cell r="B16"/>
          <cell r="C16"/>
        </row>
        <row r="17">
          <cell r="B17" t="str">
            <v>ФОИЗЛИ ХAРAЖAТЛAР</v>
          </cell>
          <cell r="C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0</v>
          </cell>
        </row>
        <row r="19">
          <cell r="B19" t="str">
            <v>Муддатли депозитлар бўйича фоизли харажатлар</v>
          </cell>
          <cell r="C19">
            <v>114814202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26517783</v>
          </cell>
        </row>
        <row r="22">
          <cell r="B22" t="str">
            <v>Жами депозитлар бўйича фоизли харажатлар</v>
          </cell>
          <cell r="C22">
            <v>141331985</v>
          </cell>
        </row>
        <row r="23">
          <cell r="B23" t="str">
            <v>Кредитлар бўйича фоизли харажатлар</v>
          </cell>
          <cell r="C23">
            <v>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</row>
        <row r="25">
          <cell r="B25" t="str">
            <v>Бошқа фоизли харажатлар</v>
          </cell>
          <cell r="C25">
            <v>1143273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1143273</v>
          </cell>
        </row>
        <row r="27">
          <cell r="B27" t="str">
            <v>Жами фоизли харажатлар</v>
          </cell>
          <cell r="C27">
            <v>142475258</v>
          </cell>
        </row>
        <row r="28">
          <cell r="B28"/>
          <cell r="C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98509183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27267205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2184115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69057863</v>
          </cell>
        </row>
        <row r="35">
          <cell r="B35"/>
          <cell r="C35"/>
        </row>
        <row r="36">
          <cell r="B36" t="str">
            <v>ФОИЗСИЗ ДАРОМАДЛАР</v>
          </cell>
          <cell r="C36"/>
        </row>
        <row r="37">
          <cell r="B37" t="str">
            <v>Кўрсатилган хизматлар ва воситачилик учун олинган даромадлар</v>
          </cell>
          <cell r="C37">
            <v>16266938</v>
          </cell>
        </row>
        <row r="38">
          <cell r="B38" t="str">
            <v>Хорижий валюталардаги фойда</v>
          </cell>
          <cell r="C38">
            <v>50852077</v>
          </cell>
        </row>
        <row r="39">
          <cell r="B39" t="str">
            <v>Тижорат операцияларидан олинган фойда</v>
          </cell>
          <cell r="C39">
            <v>0</v>
          </cell>
        </row>
        <row r="40">
          <cell r="B40" t="str">
            <v>Инвестициядан олинган фойда ва дивидендлар</v>
          </cell>
          <cell r="C40">
            <v>570000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0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</row>
        <row r="43">
          <cell r="B43" t="str">
            <v>Бошқа фоизсиз даромадлар</v>
          </cell>
          <cell r="C43">
            <v>14793774</v>
          </cell>
        </row>
        <row r="44">
          <cell r="B44" t="str">
            <v>Жами фоизсиз даромадлар</v>
          </cell>
          <cell r="C44">
            <v>82482789</v>
          </cell>
        </row>
        <row r="45">
          <cell r="B45"/>
          <cell r="C45"/>
        </row>
        <row r="46">
          <cell r="B46" t="str">
            <v>ФОИЗСИЗ ХАРАЖАТЛАР</v>
          </cell>
          <cell r="C46"/>
        </row>
        <row r="47">
          <cell r="B47" t="str">
            <v>Воситачилик ва кўрсатилган хизматлар учун харажатлар</v>
          </cell>
          <cell r="C47">
            <v>16384970</v>
          </cell>
        </row>
        <row r="48">
          <cell r="B48" t="str">
            <v>Хорижий валютада кўрилган зарарлар</v>
          </cell>
          <cell r="C48">
            <v>27011621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</row>
        <row r="51">
          <cell r="B51" t="str">
            <v>Бошқа фоизсиз харажатлар</v>
          </cell>
          <cell r="C51">
            <v>743</v>
          </cell>
        </row>
        <row r="52">
          <cell r="B52" t="str">
            <v>Жами фоизсиз харажатлар</v>
          </cell>
          <cell r="C52">
            <v>43397334</v>
          </cell>
        </row>
        <row r="53">
          <cell r="B53"/>
          <cell r="C53"/>
        </row>
        <row r="54">
          <cell r="B54" t="str">
            <v>ОПЕРАЦИОН ХАРАЖАТЛАРДАН ОЛДИНГИ СОФ ДАРОМАД</v>
          </cell>
          <cell r="C54">
            <v>108143318</v>
          </cell>
        </row>
        <row r="55">
          <cell r="B55"/>
          <cell r="C55"/>
        </row>
        <row r="56">
          <cell r="B56" t="str">
            <v>ОПЕРАЦИОН ХАРАЖАТЛАР</v>
          </cell>
          <cell r="C56"/>
        </row>
        <row r="57">
          <cell r="B57" t="str">
            <v>Банк хизматчиларига иш ҳақи ва бошқа харажатлар</v>
          </cell>
          <cell r="C57">
            <v>50551869</v>
          </cell>
        </row>
        <row r="58">
          <cell r="B58" t="str">
            <v xml:space="preserve">шундан, раҳбар ходимларга тўловлар </v>
          </cell>
          <cell r="C58">
            <v>4130451</v>
          </cell>
        </row>
        <row r="59">
          <cell r="B59" t="str">
            <v>Ижара ва таъминот харажатлари</v>
          </cell>
          <cell r="C59">
            <v>8709239</v>
          </cell>
        </row>
        <row r="60">
          <cell r="B60" t="str">
            <v>Хизмат сафари ва транспорт харажатлари</v>
          </cell>
          <cell r="C60">
            <v>314872</v>
          </cell>
        </row>
        <row r="61">
          <cell r="B61" t="str">
            <v>Маъмурий харажатлар</v>
          </cell>
          <cell r="C61">
            <v>3624624</v>
          </cell>
        </row>
        <row r="62">
          <cell r="B62" t="str">
            <v>Репрезентация ва хайрия</v>
          </cell>
          <cell r="C62">
            <v>5133728</v>
          </cell>
        </row>
        <row r="63">
          <cell r="B63" t="str">
            <v>Эскириш харажатлари</v>
          </cell>
          <cell r="C63">
            <v>8122723</v>
          </cell>
        </row>
        <row r="64">
          <cell r="B64" t="str">
            <v>Суғурта харажатлари</v>
          </cell>
          <cell r="C64">
            <v>1869</v>
          </cell>
        </row>
        <row r="65">
          <cell r="B65" t="str">
            <v>Солиқлар (фойда солиғидан ташқари) ва лицензиялар</v>
          </cell>
          <cell r="C65">
            <v>172442</v>
          </cell>
        </row>
        <row r="66">
          <cell r="B66" t="str">
            <v>Жарима ва пенялар</v>
          </cell>
          <cell r="C66">
            <v>26463</v>
          </cell>
        </row>
        <row r="67">
          <cell r="B67" t="str">
            <v>Бошқа операцион харажатлар</v>
          </cell>
          <cell r="C67">
            <v>2636207</v>
          </cell>
        </row>
        <row r="68">
          <cell r="B68" t="str">
            <v>Жами операцион харажатлар</v>
          </cell>
          <cell r="C68">
            <v>79294036</v>
          </cell>
        </row>
        <row r="69">
          <cell r="B69" t="str">
            <v xml:space="preserve">  </v>
          </cell>
          <cell r="C69"/>
        </row>
        <row r="70">
          <cell r="B70" t="str">
            <v xml:space="preserve">Солиқ тўлангунга қадар соф фойда ва бошқа тузатишлар </v>
          </cell>
          <cell r="C70">
            <v>28849282</v>
          </cell>
        </row>
        <row r="71">
          <cell r="B71" t="str">
            <v>Фойда солиғини баҳолаш</v>
          </cell>
          <cell r="C71">
            <v>3581476</v>
          </cell>
        </row>
        <row r="72">
          <cell r="B72"/>
          <cell r="C72"/>
        </row>
        <row r="73">
          <cell r="B73" t="str">
            <v>ТУЗАТИШЛАР КИРИТИЛГУНГА ҚАДАР ДАРОМАД</v>
          </cell>
          <cell r="C73">
            <v>25267806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</row>
        <row r="75">
          <cell r="B75" t="str">
            <v>Фойда бўйича тузатишлар, соф</v>
          </cell>
          <cell r="C75">
            <v>0</v>
          </cell>
        </row>
        <row r="76">
          <cell r="B76"/>
          <cell r="C76"/>
        </row>
        <row r="77">
          <cell r="B77" t="str">
            <v>СОФ ФОЙДА (ЗАРАР)</v>
          </cell>
          <cell r="C77">
            <v>25267806</v>
          </cell>
        </row>
      </sheetData>
      <sheetData sheetId="4">
        <row r="7">
          <cell r="I7">
            <v>0.15080588528004607</v>
          </cell>
        </row>
        <row r="9">
          <cell r="I9">
            <v>0.1349278832626894</v>
          </cell>
        </row>
        <row r="11">
          <cell r="I11">
            <v>0.1349278832626894</v>
          </cell>
        </row>
        <row r="13">
          <cell r="I13">
            <v>0.12079991623337892</v>
          </cell>
        </row>
        <row r="16">
          <cell r="I16">
            <v>0.12499334881812059</v>
          </cell>
        </row>
        <row r="18">
          <cell r="I18">
            <v>1.065360206127165</v>
          </cell>
        </row>
        <row r="21">
          <cell r="I21">
            <v>1.0279265932834383</v>
          </cell>
        </row>
      </sheetData>
      <sheetData sheetId="5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Income"/>
      <sheetName val="Bank Assets Analysis"/>
      <sheetName val="Bank Liabilities Analysis"/>
      <sheetName val="Economic Normatives"/>
      <sheetName val="Miscellaneous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0</v>
          </cell>
          <cell r="D5">
            <v>0</v>
          </cell>
          <cell r="E5">
            <v>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45474071</v>
          </cell>
          <cell r="D6">
            <v>30289115</v>
          </cell>
          <cell r="E6">
            <v>15184956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34967864</v>
          </cell>
          <cell r="D7">
            <v>0</v>
          </cell>
          <cell r="E7">
            <v>34967864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35995908</v>
          </cell>
          <cell r="D8">
            <v>0</v>
          </cell>
          <cell r="E8">
            <v>35995908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1028044</v>
          </cell>
          <cell r="D9">
            <v>0</v>
          </cell>
          <cell r="E9">
            <v>1028044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139771165</v>
          </cell>
          <cell r="D21">
            <v>139771165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139771165</v>
          </cell>
          <cell r="D22">
            <v>139771165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123101416</v>
          </cell>
          <cell r="D24">
            <v>123101416</v>
          </cell>
          <cell r="E24">
            <v>0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128177022</v>
          </cell>
          <cell r="D25">
            <v>128177022</v>
          </cell>
          <cell r="E25">
            <v>0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5075606</v>
          </cell>
          <cell r="D26">
            <v>5075606</v>
          </cell>
          <cell r="E26">
            <v>0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0</v>
          </cell>
          <cell r="D28">
            <v>0</v>
          </cell>
          <cell r="E28"/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/>
        </row>
        <row r="30">
          <cell r="A30">
            <v>10</v>
          </cell>
          <cell r="B30" t="str">
            <v>Асосий воситалар, соф</v>
          </cell>
          <cell r="C30">
            <v>267086440</v>
          </cell>
          <cell r="D30">
            <v>267086440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3964437</v>
          </cell>
          <cell r="D31">
            <v>3964437</v>
          </cell>
          <cell r="E31">
            <v>0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5822739</v>
          </cell>
          <cell r="D32">
            <v>5822739</v>
          </cell>
          <cell r="E32">
            <v>0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16474</v>
          </cell>
          <cell r="D33">
            <v>16474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1874776</v>
          </cell>
          <cell r="D34">
            <v>1874776</v>
          </cell>
          <cell r="E34">
            <v>0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0</v>
          </cell>
          <cell r="D36"/>
          <cell r="E36"/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/>
          <cell r="E37"/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0</v>
          </cell>
          <cell r="D38"/>
          <cell r="E38"/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1503122</v>
          </cell>
          <cell r="D39">
            <v>1503122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1148072</v>
          </cell>
          <cell r="D40">
            <v>1148072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338187</v>
          </cell>
          <cell r="D41">
            <v>338187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16863</v>
          </cell>
          <cell r="D42">
            <v>16863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8103250</v>
          </cell>
          <cell r="D43">
            <v>8100627</v>
          </cell>
          <cell r="E43">
            <v>2623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8103250</v>
          </cell>
          <cell r="D44">
            <v>8100627</v>
          </cell>
          <cell r="E44">
            <v>2623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0</v>
          </cell>
          <cell r="D45"/>
          <cell r="E45"/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620965521</v>
          </cell>
          <cell r="D47">
            <v>570810078</v>
          </cell>
          <cell r="E47">
            <v>50155443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90409841</v>
          </cell>
          <cell r="D50">
            <v>46724045</v>
          </cell>
          <cell r="E50">
            <v>43685796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262153998</v>
          </cell>
          <cell r="D51">
            <v>262153998</v>
          </cell>
          <cell r="E51">
            <v>0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884000</v>
          </cell>
          <cell r="D52">
            <v>884000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42300</v>
          </cell>
          <cell r="D53">
            <v>42300</v>
          </cell>
          <cell r="E53">
            <v>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0</v>
          </cell>
          <cell r="D55"/>
          <cell r="E55"/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/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1006086</v>
          </cell>
          <cell r="D58">
            <v>935934</v>
          </cell>
          <cell r="E58">
            <v>70152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52257</v>
          </cell>
          <cell r="D59">
            <v>52257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238030</v>
          </cell>
          <cell r="D61">
            <v>238030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6269559</v>
          </cell>
          <cell r="D62">
            <v>6269559</v>
          </cell>
          <cell r="E62"/>
        </row>
        <row r="63">
          <cell r="A63" t="str">
            <v>29</v>
          </cell>
          <cell r="B63" t="str">
            <v>Жами мажбуриятлар</v>
          </cell>
          <cell r="C63">
            <v>361056071</v>
          </cell>
          <cell r="D63">
            <v>317300123</v>
          </cell>
          <cell r="E63">
            <v>43755948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350000000</v>
          </cell>
          <cell r="D67">
            <v>350000000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350000000</v>
          </cell>
          <cell r="D68">
            <v>350000000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0</v>
          </cell>
          <cell r="D69">
            <v>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/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0</v>
          </cell>
          <cell r="D71">
            <v>0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0</v>
          </cell>
          <cell r="D72"/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0</v>
          </cell>
          <cell r="D74"/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-90090550</v>
          </cell>
          <cell r="D75">
            <v>-90090550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-55613695</v>
          </cell>
          <cell r="D76">
            <v>-55613695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259909450</v>
          </cell>
          <cell r="D77">
            <v>259909450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620965521</v>
          </cell>
          <cell r="D78">
            <v>577209573</v>
          </cell>
          <cell r="E78">
            <v>43755948</v>
          </cell>
        </row>
        <row r="80">
          <cell r="B80" t="str">
            <v>Бошқарув Раис имзоси:</v>
          </cell>
        </row>
        <row r="81">
          <cell r="B81"/>
        </row>
        <row r="82">
          <cell r="B82" t="str">
            <v>Бош бухгалтер имзоси:</v>
          </cell>
        </row>
        <row r="83">
          <cell r="B83"/>
        </row>
        <row r="84">
          <cell r="B84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0</v>
          </cell>
          <cell r="D6">
            <v>0</v>
          </cell>
        </row>
        <row r="7">
          <cell r="B7" t="str">
            <v>Бошқа банклардаги ҳисобварақлар бўйича фоизли даромадлар</v>
          </cell>
          <cell r="C7">
            <v>343</v>
          </cell>
          <cell r="D7">
            <v>0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0</v>
          </cell>
          <cell r="D9">
            <v>0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20619961</v>
          </cell>
          <cell r="D12">
            <v>20619961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7787479</v>
          </cell>
          <cell r="D13">
            <v>7787479</v>
          </cell>
        </row>
        <row r="14">
          <cell r="B14" t="str">
            <v>Бошқа фоизли даромадлар</v>
          </cell>
          <cell r="C14">
            <v>1058</v>
          </cell>
          <cell r="D14">
            <v>1058</v>
          </cell>
        </row>
        <row r="15">
          <cell r="B15" t="str">
            <v>Жами фоизли даромадлар</v>
          </cell>
          <cell r="C15">
            <v>28408841</v>
          </cell>
          <cell r="D15">
            <v>28408498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72338</v>
          </cell>
          <cell r="D18">
            <v>0</v>
          </cell>
        </row>
        <row r="19">
          <cell r="B19" t="str">
            <v>Муддатли депозитлар бўйича фоизли харажатлар</v>
          </cell>
          <cell r="C19">
            <v>24211206</v>
          </cell>
          <cell r="D19">
            <v>24211206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0</v>
          </cell>
          <cell r="D21">
            <v>0</v>
          </cell>
        </row>
        <row r="22">
          <cell r="B22" t="str">
            <v>Жами депозитлар бўйича фоизли харажатлар</v>
          </cell>
          <cell r="C22">
            <v>24283544</v>
          </cell>
          <cell r="D22">
            <v>24211206</v>
          </cell>
        </row>
        <row r="23">
          <cell r="B23" t="str">
            <v>Кредитлар бўйича фоизли харажатлар</v>
          </cell>
          <cell r="C23">
            <v>0</v>
          </cell>
          <cell r="D23">
            <v>0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</row>
        <row r="25">
          <cell r="B25" t="str">
            <v>Бошқа фоизли харажатлар</v>
          </cell>
          <cell r="C25">
            <v>974</v>
          </cell>
          <cell r="D25">
            <v>0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974</v>
          </cell>
          <cell r="D26">
            <v>0</v>
          </cell>
        </row>
        <row r="27">
          <cell r="B27" t="str">
            <v>Жами фоизли харажатлар</v>
          </cell>
          <cell r="C27">
            <v>24284518</v>
          </cell>
          <cell r="D27">
            <v>24211206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4124323</v>
          </cell>
          <cell r="D29">
            <v>4197292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14372657</v>
          </cell>
          <cell r="D30">
            <v>14372657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6046329</v>
          </cell>
          <cell r="D33">
            <v>5097880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-16294663</v>
          </cell>
          <cell r="D34">
            <v>-15273245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9405801</v>
          </cell>
          <cell r="D37">
            <v>6941703</v>
          </cell>
        </row>
        <row r="38">
          <cell r="B38" t="str">
            <v>Хорижий валюталардаги фойда</v>
          </cell>
          <cell r="C38">
            <v>2527859</v>
          </cell>
          <cell r="D38">
            <v>0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0</v>
          </cell>
          <cell r="D40">
            <v>0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10906477</v>
          </cell>
          <cell r="D41">
            <v>10905764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0</v>
          </cell>
          <cell r="D42"/>
        </row>
        <row r="43">
          <cell r="B43" t="str">
            <v>Бошқа фоизсиз даромадлар</v>
          </cell>
          <cell r="C43">
            <v>443260</v>
          </cell>
          <cell r="D43">
            <v>443260</v>
          </cell>
        </row>
        <row r="44">
          <cell r="B44" t="str">
            <v>Жами фоизсиз даромадлар</v>
          </cell>
          <cell r="C44">
            <v>23283397</v>
          </cell>
          <cell r="D44">
            <v>18290727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6265677</v>
          </cell>
          <cell r="D47">
            <v>6100982</v>
          </cell>
        </row>
        <row r="48">
          <cell r="B48" t="str">
            <v>Хорижий валютада кўрилган зарарлар</v>
          </cell>
          <cell r="C48">
            <v>3102218</v>
          </cell>
          <cell r="D48">
            <v>0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6629</v>
          </cell>
          <cell r="D51">
            <v>6629</v>
          </cell>
        </row>
        <row r="52">
          <cell r="B52" t="str">
            <v>Жами фоизсиз харажатлар</v>
          </cell>
          <cell r="C52">
            <v>9374524</v>
          </cell>
          <cell r="D52">
            <v>6107611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-2385790</v>
          </cell>
          <cell r="D54">
            <v>-3090129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24814351</v>
          </cell>
          <cell r="D57">
            <v>24814351</v>
          </cell>
        </row>
        <row r="58">
          <cell r="B58" t="str">
            <v xml:space="preserve">шундан, раҳбар ходимларга тўловлар </v>
          </cell>
          <cell r="C58">
            <v>1667062</v>
          </cell>
          <cell r="D58">
            <v>1667062</v>
          </cell>
        </row>
        <row r="59">
          <cell r="B59" t="str">
            <v>Ижара ва таъминот харажатлари</v>
          </cell>
          <cell r="C59">
            <v>1215414</v>
          </cell>
          <cell r="D59">
            <v>1215414</v>
          </cell>
        </row>
        <row r="60">
          <cell r="B60" t="str">
            <v>Хизмат сафари ва транспорт харажатлари</v>
          </cell>
          <cell r="C60">
            <v>21823</v>
          </cell>
          <cell r="D60">
            <v>21823</v>
          </cell>
        </row>
        <row r="61">
          <cell r="B61" t="str">
            <v>Маъмурий харажатлар</v>
          </cell>
          <cell r="C61">
            <v>1837616</v>
          </cell>
          <cell r="D61">
            <v>1815168</v>
          </cell>
        </row>
        <row r="62">
          <cell r="B62" t="str">
            <v>Репрезентация ва хайрия</v>
          </cell>
          <cell r="C62">
            <v>920387</v>
          </cell>
          <cell r="D62">
            <v>920387</v>
          </cell>
        </row>
        <row r="63">
          <cell r="B63" t="str">
            <v>Эскириш харажатлари</v>
          </cell>
          <cell r="C63">
            <v>10761747</v>
          </cell>
          <cell r="D63">
            <v>10761747</v>
          </cell>
        </row>
        <row r="64">
          <cell r="B64" t="str">
            <v>Суғурта харажатлари</v>
          </cell>
          <cell r="C64">
            <v>248743</v>
          </cell>
          <cell r="D64">
            <v>248743</v>
          </cell>
        </row>
        <row r="65">
          <cell r="B65" t="str">
            <v>Солиқлар (фойда солиғидан ташқари) ва лицензиялар</v>
          </cell>
          <cell r="C65">
            <v>1175311</v>
          </cell>
          <cell r="D65">
            <v>1175311</v>
          </cell>
        </row>
        <row r="66">
          <cell r="B66" t="str">
            <v>Жарима ва пенялар</v>
          </cell>
          <cell r="C66">
            <v>77098</v>
          </cell>
          <cell r="D66">
            <v>77098</v>
          </cell>
        </row>
        <row r="67">
          <cell r="B67" t="str">
            <v>Бошқа операцион харажатлар</v>
          </cell>
          <cell r="C67">
            <v>12155415</v>
          </cell>
          <cell r="D67">
            <v>12155417</v>
          </cell>
        </row>
        <row r="68">
          <cell r="B68" t="str">
            <v>Жами операцион харажатлар</v>
          </cell>
          <cell r="C68">
            <v>53227905</v>
          </cell>
          <cell r="D68">
            <v>53205459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-55613695</v>
          </cell>
          <cell r="D70">
            <v>-56295588</v>
          </cell>
        </row>
        <row r="71">
          <cell r="B71" t="str">
            <v>Фойда солиғини баҳолаш</v>
          </cell>
          <cell r="C71">
            <v>0</v>
          </cell>
          <cell r="D71"/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-55613695</v>
          </cell>
          <cell r="D73">
            <v>-56295588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-55613695</v>
          </cell>
          <cell r="D77">
            <v>-56295588</v>
          </cell>
        </row>
        <row r="79">
          <cell r="B79" t="str">
            <v>Бошқарув Раис имзоси:</v>
          </cell>
        </row>
        <row r="80">
          <cell r="B80"/>
        </row>
        <row r="81">
          <cell r="B81" t="str">
            <v>Бош бухгалтер имзоси:</v>
          </cell>
        </row>
      </sheetData>
      <sheetData sheetId="2">
        <row r="7">
          <cell r="C7">
            <v>45474071</v>
          </cell>
        </row>
        <row r="9">
          <cell r="C9">
            <v>34967864</v>
          </cell>
          <cell r="E9">
            <v>0</v>
          </cell>
          <cell r="G9">
            <v>0</v>
          </cell>
        </row>
      </sheetData>
      <sheetData sheetId="3"/>
      <sheetData sheetId="4">
        <row r="7">
          <cell r="I7">
            <v>0.47677067260818046</v>
          </cell>
        </row>
        <row r="9">
          <cell r="I9">
            <v>0.47359800568592708</v>
          </cell>
        </row>
        <row r="11">
          <cell r="I11">
            <v>0.47359800568592708</v>
          </cell>
        </row>
        <row r="13">
          <cell r="I13">
            <v>0.41855697492099564</v>
          </cell>
        </row>
        <row r="16">
          <cell r="I16">
            <v>0.3383065547048304</v>
          </cell>
        </row>
        <row r="18">
          <cell r="I18">
            <v>4.784309272839792</v>
          </cell>
        </row>
        <row r="21">
          <cell r="I21">
            <v>1.1323594553586094</v>
          </cell>
        </row>
      </sheetData>
      <sheetData sheetId="5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3"/>
      <sheetName val="17"/>
      <sheetName val="18"/>
      <sheetName val="22"/>
      <sheetName val="23"/>
    </sheetNames>
    <sheetDataSet>
      <sheetData sheetId="0">
        <row r="5">
          <cell r="A5">
            <v>1</v>
          </cell>
          <cell r="B5" t="str">
            <v>Кассадаги нақд пул ва бошқа тўлов ҳужжатлари</v>
          </cell>
          <cell r="C5">
            <v>504139033</v>
          </cell>
          <cell r="D5">
            <v>387964353</v>
          </cell>
          <cell r="E5">
            <v>116174680</v>
          </cell>
        </row>
        <row r="6">
          <cell r="A6">
            <v>2</v>
          </cell>
          <cell r="B6" t="str">
            <v>Банкнинг Марказий банкдаги маблағлари</v>
          </cell>
          <cell r="C6">
            <v>549143742</v>
          </cell>
          <cell r="D6">
            <v>549143742</v>
          </cell>
          <cell r="E6">
            <v>0</v>
          </cell>
        </row>
        <row r="7">
          <cell r="A7">
            <v>3</v>
          </cell>
          <cell r="B7" t="str">
            <v>Бошқа банклар ва молиявий ташкилотлардан олиниши лозим бўлган маблағлар, соф</v>
          </cell>
          <cell r="C7">
            <v>2688137137</v>
          </cell>
          <cell r="D7">
            <v>68025772</v>
          </cell>
          <cell r="E7">
            <v>2620111365</v>
          </cell>
        </row>
        <row r="8">
          <cell r="A8" t="str">
            <v>3.1</v>
          </cell>
          <cell r="B8" t="str">
            <v>Бошқа банклар ва молиявий ташкилотлардан олиниши лозим бўлган маблағлар, брутто</v>
          </cell>
          <cell r="C8">
            <v>2688137137</v>
          </cell>
          <cell r="D8">
            <v>68025772</v>
          </cell>
          <cell r="E8">
            <v>2620111365</v>
          </cell>
        </row>
        <row r="9">
          <cell r="A9" t="str">
            <v>3.2</v>
          </cell>
          <cell r="B9" t="str">
            <v>Минус: Кўрилиши мумкин бўлган зарарларни қоплаш захираси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4</v>
          </cell>
          <cell r="B10" t="str">
            <v>Қимматли қоғозлар ва уларга қилинган  инвестициялар, соф</v>
          </cell>
          <cell r="C10">
            <v>332336308</v>
          </cell>
          <cell r="D10">
            <v>332336308</v>
          </cell>
          <cell r="E10">
            <v>0</v>
          </cell>
        </row>
        <row r="11">
          <cell r="A11" t="str">
            <v>4.1</v>
          </cell>
          <cell r="B11" t="str">
            <v>Қимматли қоғозлар ва уларга қилинган  инвестициялар, брутто</v>
          </cell>
          <cell r="C11">
            <v>341500000</v>
          </cell>
          <cell r="D11">
            <v>341500000</v>
          </cell>
          <cell r="E11">
            <v>0</v>
          </cell>
        </row>
        <row r="12">
          <cell r="A12" t="str">
            <v>4.2</v>
          </cell>
          <cell r="B12" t="str">
            <v>Қимматли қоғозлар бўйича харажатлар, дисконт, мукофот ва уларнинг ҳаққоний қийматининг ўзгариши</v>
          </cell>
          <cell r="C12">
            <v>-9163692</v>
          </cell>
          <cell r="D12">
            <v>-9163692</v>
          </cell>
          <cell r="E12">
            <v>0</v>
          </cell>
        </row>
        <row r="13">
          <cell r="A13" t="str">
            <v>4.3</v>
          </cell>
          <cell r="B13" t="str">
            <v xml:space="preserve">Минус: Кўрилиши мумкин бўлган зарарларни қоплаш захираси 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5</v>
          </cell>
          <cell r="B14" t="str">
            <v>Қимматбаҳо металлар, тошлар ва тангалар, соф</v>
          </cell>
          <cell r="C14">
            <v>175</v>
          </cell>
          <cell r="D14">
            <v>175</v>
          </cell>
          <cell r="E14">
            <v>0</v>
          </cell>
        </row>
        <row r="15">
          <cell r="A15" t="str">
            <v>5.1</v>
          </cell>
          <cell r="B15" t="str">
            <v xml:space="preserve">Қимматбаҳо металлар, тошлар ва тангалар, брутто </v>
          </cell>
          <cell r="C15">
            <v>175</v>
          </cell>
          <cell r="D15">
            <v>175</v>
          </cell>
          <cell r="E15">
            <v>0</v>
          </cell>
        </row>
        <row r="16">
          <cell r="A16" t="str">
            <v>5.2</v>
          </cell>
          <cell r="B16" t="str">
            <v xml:space="preserve">Минус: Кўрилиши мумкин бўлган зарарларни қоплаш захираси 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6</v>
          </cell>
          <cell r="B17" t="str">
            <v>Инвестициялар, соф</v>
          </cell>
          <cell r="C17">
            <v>614220369</v>
          </cell>
          <cell r="D17">
            <v>614220369</v>
          </cell>
          <cell r="E17">
            <v>0</v>
          </cell>
        </row>
        <row r="18">
          <cell r="A18" t="str">
            <v>6.1</v>
          </cell>
          <cell r="B18" t="str">
            <v>Инвестициялар, брутто</v>
          </cell>
          <cell r="C18">
            <v>614220369</v>
          </cell>
          <cell r="D18">
            <v>614220369</v>
          </cell>
          <cell r="E18">
            <v>0</v>
          </cell>
        </row>
        <row r="19">
          <cell r="A19" t="str">
            <v>6.2</v>
          </cell>
          <cell r="B19" t="str">
            <v>Инвестициялар бўйича харажатлар, дисконт ва мукофот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6.3</v>
          </cell>
          <cell r="B20" t="str">
            <v>Минус: Кўрилиши мумкин бўлган зарарларни қоплаш захираси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7</v>
          </cell>
          <cell r="B21" t="str">
            <v>РЕПО битимлари бўйича сотиб олинган қимматли қоғозлар, соф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7.1</v>
          </cell>
          <cell r="B22" t="str">
            <v>РЕПО битимлари бўйича сотиб олинган қимматли қоғозлар, брутто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7.2</v>
          </cell>
          <cell r="B23" t="str">
            <v xml:space="preserve">Минус: Кўрилиши мумкин бўлган зарарларни қоплаш захираси 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8</v>
          </cell>
          <cell r="B24" t="str">
            <v>Кредит ва лизинг операциялари, соф</v>
          </cell>
          <cell r="C24">
            <v>19487141299</v>
          </cell>
          <cell r="D24">
            <v>15285721846</v>
          </cell>
          <cell r="E24">
            <v>4201419453</v>
          </cell>
        </row>
        <row r="25">
          <cell r="A25" t="str">
            <v>8.1</v>
          </cell>
          <cell r="B25" t="str">
            <v>Кредит ва лизинг операциялари, брутто</v>
          </cell>
          <cell r="C25">
            <v>19699841439</v>
          </cell>
          <cell r="D25">
            <v>15455367489</v>
          </cell>
          <cell r="E25">
            <v>4244473950</v>
          </cell>
        </row>
        <row r="26">
          <cell r="A26" t="str">
            <v>8.2</v>
          </cell>
          <cell r="B26" t="str">
            <v>Минус: Кўрилиши мумкин бўлган зарарларни қоплаш захираси</v>
          </cell>
          <cell r="C26">
            <v>212700140</v>
          </cell>
          <cell r="D26">
            <v>169645643</v>
          </cell>
          <cell r="E26">
            <v>43054497</v>
          </cell>
        </row>
        <row r="27">
          <cell r="A27">
            <v>9</v>
          </cell>
          <cell r="B27" t="str">
            <v>Молиявий инструментлар бўйича мижозларнинг мажбуриятлари, соф</v>
          </cell>
          <cell r="C27">
            <v>17717400</v>
          </cell>
          <cell r="D27">
            <v>1400024</v>
          </cell>
          <cell r="E27">
            <v>16317376</v>
          </cell>
        </row>
        <row r="28">
          <cell r="A28" t="str">
            <v>9.1</v>
          </cell>
          <cell r="B28" t="str">
            <v>Молиявий инструментлар бўйича мижозларнинг мажбуриятлари, брутто</v>
          </cell>
          <cell r="C28">
            <v>17717400</v>
          </cell>
          <cell r="D28">
            <v>1400024</v>
          </cell>
          <cell r="E28">
            <v>16317376</v>
          </cell>
        </row>
        <row r="29">
          <cell r="A29" t="str">
            <v>9.2</v>
          </cell>
          <cell r="B29" t="str">
            <v>Минус: Кўрилиши мумкин бўлган зарарларни қоплаш захираси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10</v>
          </cell>
          <cell r="B30" t="str">
            <v>Асосий воситалар, соф</v>
          </cell>
          <cell r="C30">
            <v>958867066</v>
          </cell>
          <cell r="D30">
            <v>958867066</v>
          </cell>
          <cell r="E30">
            <v>0</v>
          </cell>
        </row>
        <row r="31">
          <cell r="A31">
            <v>11</v>
          </cell>
          <cell r="B31" t="str">
            <v>Жами ҳисобланган фоизли ва фоизсиз даромадлар, соф</v>
          </cell>
          <cell r="C31">
            <v>1739130087</v>
          </cell>
          <cell r="D31">
            <v>1238124816</v>
          </cell>
          <cell r="E31">
            <v>501005271</v>
          </cell>
        </row>
        <row r="32">
          <cell r="A32" t="str">
            <v>11.1</v>
          </cell>
          <cell r="B32" t="str">
            <v>Ҳисобланган фоизли даромадлар, брутто</v>
          </cell>
          <cell r="C32">
            <v>1754578257</v>
          </cell>
          <cell r="D32">
            <v>1252459447</v>
          </cell>
          <cell r="E32">
            <v>502118810</v>
          </cell>
        </row>
        <row r="33">
          <cell r="A33" t="str">
            <v>11.2</v>
          </cell>
          <cell r="B33" t="str">
            <v>Ҳисобланган фоизсиз даромадлар, брутто</v>
          </cell>
          <cell r="C33">
            <v>21633</v>
          </cell>
          <cell r="D33">
            <v>21633</v>
          </cell>
          <cell r="E33">
            <v>0</v>
          </cell>
        </row>
        <row r="34">
          <cell r="A34" t="str">
            <v>11.2.1</v>
          </cell>
          <cell r="B34" t="str">
            <v>Минус: Кўрилиши мумкин бўлган зарарларни қоплаш захираси</v>
          </cell>
          <cell r="C34">
            <v>15469803</v>
          </cell>
          <cell r="D34">
            <v>14356264</v>
          </cell>
          <cell r="E34">
            <v>1113539</v>
          </cell>
        </row>
        <row r="35">
          <cell r="A35">
            <v>12</v>
          </cell>
          <cell r="B35" t="str">
            <v>Банкнинг бошқа хусусий мулклари, соф</v>
          </cell>
          <cell r="C35">
            <v>506559124</v>
          </cell>
          <cell r="D35">
            <v>506559124</v>
          </cell>
          <cell r="E35">
            <v>0</v>
          </cell>
        </row>
        <row r="36">
          <cell r="A36" t="str">
            <v>12.1</v>
          </cell>
          <cell r="B36" t="str">
            <v>Кредит ва лизинг бўйича гаров ҳисобидан ундирилган бошқа мулклар, брутто</v>
          </cell>
          <cell r="C36">
            <v>587275661</v>
          </cell>
          <cell r="D36">
            <v>587275661</v>
          </cell>
          <cell r="E36">
            <v>0</v>
          </cell>
        </row>
        <row r="37">
          <cell r="A37" t="str">
            <v>12.2</v>
          </cell>
          <cell r="B37" t="str">
            <v>Банкнинг бошқа хусусий мулклари, брутто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12.3</v>
          </cell>
          <cell r="B38" t="str">
            <v>Минус: Йиғилган эскириш суммаси ва кўрилиши мумкин бўлган зарарларни қоплаш захираси</v>
          </cell>
          <cell r="C38">
            <v>80716537</v>
          </cell>
          <cell r="D38">
            <v>80716537</v>
          </cell>
          <cell r="E38">
            <v>0</v>
          </cell>
        </row>
        <row r="39">
          <cell r="A39">
            <v>13</v>
          </cell>
          <cell r="B39" t="str">
            <v>Стандарт деб таснифланган активлар бўйича яратилган захиралар</v>
          </cell>
          <cell r="C39">
            <v>123374035</v>
          </cell>
          <cell r="D39">
            <v>123374035</v>
          </cell>
          <cell r="E39">
            <v>0</v>
          </cell>
        </row>
        <row r="40">
          <cell r="A40" t="str">
            <v>13.1</v>
          </cell>
          <cell r="B40" t="str">
            <v>Стандарт деб таснифланган кредитлар, лизинг ва факторинг бўйича захира</v>
          </cell>
          <cell r="C40">
            <v>123374035</v>
          </cell>
          <cell r="D40">
            <v>123374035</v>
          </cell>
          <cell r="E40">
            <v>0</v>
          </cell>
        </row>
        <row r="41">
          <cell r="A41" t="str">
            <v>13.2</v>
          </cell>
          <cell r="B41" t="str">
            <v>Стандарт деб таснифланган бошқа активлар бўйича захира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13.3</v>
          </cell>
          <cell r="B42" t="str">
            <v xml:space="preserve">Стандарт деб таснифланган активлар бўйича фоизлар ва воситачилик ҳақларига оид захира </v>
          </cell>
          <cell r="C42">
            <v>0</v>
          </cell>
          <cell r="D42">
            <v>0</v>
          </cell>
          <cell r="E42">
            <v>0</v>
          </cell>
        </row>
        <row r="43">
          <cell r="A43">
            <v>14</v>
          </cell>
          <cell r="B43" t="str">
            <v>Бошқа активлар, соф</v>
          </cell>
          <cell r="C43">
            <v>636436094</v>
          </cell>
          <cell r="D43">
            <v>601175295</v>
          </cell>
          <cell r="E43">
            <v>35260799</v>
          </cell>
        </row>
        <row r="44">
          <cell r="A44" t="str">
            <v>14.1</v>
          </cell>
          <cell r="B44" t="str">
            <v>Бошқа активлар, брутто</v>
          </cell>
          <cell r="C44">
            <v>668610772</v>
          </cell>
          <cell r="D44">
            <v>633349973</v>
          </cell>
          <cell r="E44">
            <v>35260799</v>
          </cell>
        </row>
        <row r="45">
          <cell r="A45" t="str">
            <v>14.2</v>
          </cell>
          <cell r="B45" t="str">
            <v>Минус: Кўрилиши мумкин бўлган зарарларни қоплаш захираси</v>
          </cell>
          <cell r="C45">
            <v>32174678</v>
          </cell>
          <cell r="D45">
            <v>32174678</v>
          </cell>
          <cell r="E45">
            <v>0</v>
          </cell>
        </row>
        <row r="46">
          <cell r="A46" t="str">
            <v>14.3</v>
          </cell>
          <cell r="B46" t="str">
            <v>Валюталар савдоси ва валюта позициялари</v>
          </cell>
          <cell r="C46">
            <v>0</v>
          </cell>
          <cell r="D46"/>
          <cell r="E46"/>
        </row>
        <row r="47">
          <cell r="A47" t="str">
            <v>15</v>
          </cell>
          <cell r="B47" t="str">
            <v>Жами активлар</v>
          </cell>
          <cell r="C47">
            <v>27910453799</v>
          </cell>
          <cell r="D47">
            <v>20420164855</v>
          </cell>
          <cell r="E47">
            <v>7490288944</v>
          </cell>
        </row>
        <row r="48">
          <cell r="A48"/>
          <cell r="B48"/>
          <cell r="C48"/>
          <cell r="D48"/>
          <cell r="E48"/>
        </row>
        <row r="49">
          <cell r="A49"/>
          <cell r="B49" t="str">
            <v>МАЖБУРИЯТЛАР</v>
          </cell>
          <cell r="C49"/>
          <cell r="D49"/>
          <cell r="E49"/>
        </row>
        <row r="50">
          <cell r="A50" t="str">
            <v>16</v>
          </cell>
          <cell r="B50" t="str">
            <v>Талаб қилиб олингунча сақланадиган депозитлар</v>
          </cell>
          <cell r="C50">
            <v>828011097</v>
          </cell>
          <cell r="D50">
            <v>751798384</v>
          </cell>
          <cell r="E50">
            <v>76212713</v>
          </cell>
        </row>
        <row r="51">
          <cell r="A51" t="str">
            <v>17</v>
          </cell>
          <cell r="B51" t="str">
            <v>Муддатли депозитлар</v>
          </cell>
          <cell r="C51">
            <v>7928992530</v>
          </cell>
          <cell r="D51">
            <v>7135488876</v>
          </cell>
          <cell r="E51">
            <v>793503654</v>
          </cell>
        </row>
        <row r="52">
          <cell r="A52" t="str">
            <v>18</v>
          </cell>
          <cell r="B52" t="str">
            <v>Марказий банкка тўланиши лозим бўлган маблағлар</v>
          </cell>
          <cell r="C52">
            <v>235868</v>
          </cell>
          <cell r="D52">
            <v>235868</v>
          </cell>
          <cell r="E52">
            <v>0</v>
          </cell>
        </row>
        <row r="53">
          <cell r="A53" t="str">
            <v>19</v>
          </cell>
          <cell r="B53" t="str">
            <v>Бошқа банклар ва молиявий ташкилотларнинг ҳисобварақлари</v>
          </cell>
          <cell r="C53">
            <v>1156243988</v>
          </cell>
          <cell r="D53">
            <v>815430218</v>
          </cell>
          <cell r="E53">
            <v>340813770</v>
          </cell>
        </row>
        <row r="54">
          <cell r="A54" t="str">
            <v>20</v>
          </cell>
          <cell r="B54" t="str">
            <v>РЕПО битимлари бўйича сотилган қимматли қоғозлар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21</v>
          </cell>
          <cell r="B55" t="str">
            <v>Кредит ва лизинг операциялари бўйича мажбуриятлар</v>
          </cell>
          <cell r="C55">
            <v>11262258376</v>
          </cell>
          <cell r="D55">
            <v>5089145228</v>
          </cell>
          <cell r="E55">
            <v>6173113148</v>
          </cell>
        </row>
        <row r="56">
          <cell r="A56" t="str">
            <v>22</v>
          </cell>
          <cell r="B56" t="str">
            <v>Банк томонидан чиқарилган қимматли қоғозлар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23</v>
          </cell>
          <cell r="B57" t="str">
            <v xml:space="preserve">Субординар қарз </v>
          </cell>
          <cell r="C57">
            <v>708133247</v>
          </cell>
          <cell r="D57">
            <v>708133247</v>
          </cell>
          <cell r="E57">
            <v>0</v>
          </cell>
        </row>
        <row r="58">
          <cell r="A58" t="str">
            <v>24</v>
          </cell>
          <cell r="B58" t="str">
            <v>Тўланиши лозим бўлган ҳисобланган фоизлар</v>
          </cell>
          <cell r="C58">
            <v>240091452</v>
          </cell>
          <cell r="D58">
            <v>141936691</v>
          </cell>
          <cell r="E58">
            <v>98154761</v>
          </cell>
        </row>
        <row r="59">
          <cell r="A59" t="str">
            <v>25</v>
          </cell>
          <cell r="B59" t="str">
            <v>Ҳисобланган солиқлар бўйича мажбуриятлар</v>
          </cell>
          <cell r="C59">
            <v>34114092</v>
          </cell>
          <cell r="D59">
            <v>34114092</v>
          </cell>
          <cell r="E59">
            <v>0</v>
          </cell>
        </row>
        <row r="60">
          <cell r="A60" t="str">
            <v>26</v>
          </cell>
          <cell r="B60" t="str">
            <v>Клиринг транзакциялари</v>
          </cell>
          <cell r="C60">
            <v>1028938</v>
          </cell>
          <cell r="D60">
            <v>1028938</v>
          </cell>
          <cell r="E60">
            <v>0</v>
          </cell>
        </row>
        <row r="61">
          <cell r="A61" t="str">
            <v>27</v>
          </cell>
          <cell r="B61" t="str">
            <v>Стандарт деб таснифланган балансдан ташқари моддаларга яратилган захиралар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28</v>
          </cell>
          <cell r="B62" t="str">
            <v>Бошқа мажбуриятлар</v>
          </cell>
          <cell r="C62">
            <v>123881084</v>
          </cell>
          <cell r="D62">
            <v>96586049</v>
          </cell>
          <cell r="E62">
            <v>27295035</v>
          </cell>
        </row>
        <row r="63">
          <cell r="A63" t="str">
            <v>29</v>
          </cell>
          <cell r="B63" t="str">
            <v>Жами мажбуриятлар</v>
          </cell>
          <cell r="C63">
            <v>22282990672</v>
          </cell>
          <cell r="D63">
            <v>14773897591</v>
          </cell>
          <cell r="E63">
            <v>7509093081</v>
          </cell>
        </row>
        <row r="64">
          <cell r="A64"/>
          <cell r="B64"/>
          <cell r="C64"/>
          <cell r="D64"/>
          <cell r="E64"/>
        </row>
        <row r="65">
          <cell r="A65"/>
          <cell r="B65" t="str">
            <v>ХУСУСИЙ КАПИТАЛ</v>
          </cell>
          <cell r="C65"/>
          <cell r="D65"/>
          <cell r="E65"/>
        </row>
        <row r="66">
          <cell r="A66"/>
          <cell r="B66"/>
          <cell r="C66"/>
          <cell r="D66"/>
          <cell r="E66"/>
        </row>
        <row r="67">
          <cell r="A67" t="str">
            <v>30</v>
          </cell>
          <cell r="B67" t="str">
            <v>Устав капитали</v>
          </cell>
          <cell r="C67">
            <v>7145336800</v>
          </cell>
          <cell r="D67">
            <v>7145336800</v>
          </cell>
          <cell r="E67">
            <v>0</v>
          </cell>
        </row>
        <row r="68">
          <cell r="A68" t="str">
            <v>30.1</v>
          </cell>
          <cell r="B68" t="str">
            <v>Aкциялар – оддий</v>
          </cell>
          <cell r="C68">
            <v>7145192620</v>
          </cell>
          <cell r="D68">
            <v>7145192620</v>
          </cell>
          <cell r="E68">
            <v>0</v>
          </cell>
        </row>
        <row r="69">
          <cell r="A69" t="str">
            <v>30.2</v>
          </cell>
          <cell r="B69" t="str">
            <v>Aкциялар – имтиёзли</v>
          </cell>
          <cell r="C69">
            <v>144180</v>
          </cell>
          <cell r="D69">
            <v>144180</v>
          </cell>
          <cell r="E69">
            <v>0</v>
          </cell>
        </row>
        <row r="70">
          <cell r="A70" t="str">
            <v>31</v>
          </cell>
          <cell r="B70" t="str">
            <v xml:space="preserve">Қўшилган капитал 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32</v>
          </cell>
          <cell r="B71" t="str">
            <v>Захира капитали</v>
          </cell>
          <cell r="C71">
            <v>32911747</v>
          </cell>
          <cell r="D71">
            <v>32911747</v>
          </cell>
          <cell r="E71">
            <v>0</v>
          </cell>
        </row>
        <row r="72">
          <cell r="A72" t="str">
            <v>32.1</v>
          </cell>
          <cell r="B72" t="str">
            <v>Умумий захира фонди</v>
          </cell>
          <cell r="C72">
            <v>27856392</v>
          </cell>
          <cell r="D72">
            <v>27856392</v>
          </cell>
          <cell r="E72">
            <v>0</v>
          </cell>
        </row>
        <row r="73">
          <cell r="A73" t="str">
            <v>32.2</v>
          </cell>
          <cell r="B73" t="str">
            <v>Девальвация учун захира</v>
          </cell>
          <cell r="C73">
            <v>0</v>
          </cell>
          <cell r="D73">
            <v>0</v>
          </cell>
          <cell r="E73">
            <v>0</v>
          </cell>
        </row>
        <row r="74">
          <cell r="A74" t="str">
            <v>32.3</v>
          </cell>
          <cell r="B74" t="str">
            <v>Бошқа захира фондлари</v>
          </cell>
          <cell r="C74">
            <v>5055355</v>
          </cell>
          <cell r="D74">
            <v>5055355</v>
          </cell>
          <cell r="E74">
            <v>0</v>
          </cell>
        </row>
        <row r="75">
          <cell r="A75" t="str">
            <v>33</v>
          </cell>
          <cell r="B75" t="str">
            <v>Тақсимланмаган фойда</v>
          </cell>
          <cell r="C75">
            <v>-1550785420</v>
          </cell>
          <cell r="D75">
            <v>-1550785420</v>
          </cell>
          <cell r="E75">
            <v>0</v>
          </cell>
        </row>
        <row r="76">
          <cell r="A76" t="str">
            <v>33.1</v>
          </cell>
          <cell r="B76" t="str">
            <v>шундан, жорий йил соф фойдаси (зарари)</v>
          </cell>
          <cell r="C76">
            <v>49026144</v>
          </cell>
          <cell r="D76">
            <v>49026144</v>
          </cell>
          <cell r="E76">
            <v>0</v>
          </cell>
        </row>
        <row r="77">
          <cell r="A77" t="str">
            <v>34</v>
          </cell>
          <cell r="B77" t="str">
            <v>Жами хусусий капитал</v>
          </cell>
          <cell r="C77">
            <v>5627463127</v>
          </cell>
          <cell r="D77">
            <v>5627463127</v>
          </cell>
          <cell r="E77">
            <v>0</v>
          </cell>
        </row>
        <row r="78">
          <cell r="A78" t="str">
            <v>35</v>
          </cell>
          <cell r="B78" t="str">
            <v>Жами мажбуриятлар ва хусусий капитал</v>
          </cell>
          <cell r="C78">
            <v>27910453799</v>
          </cell>
          <cell r="D78">
            <v>20401360718</v>
          </cell>
          <cell r="E78">
            <v>7509093081</v>
          </cell>
        </row>
        <row r="79">
          <cell r="A79"/>
          <cell r="B79"/>
          <cell r="C79"/>
          <cell r="D79"/>
          <cell r="E79"/>
        </row>
        <row r="80">
          <cell r="A80"/>
          <cell r="B80" t="str">
            <v>Бошқарув Раис имзоси:</v>
          </cell>
          <cell r="C80"/>
          <cell r="D80"/>
          <cell r="E80"/>
        </row>
        <row r="81">
          <cell r="A81"/>
          <cell r="B81"/>
          <cell r="C81"/>
          <cell r="D81"/>
          <cell r="E81"/>
        </row>
        <row r="82">
          <cell r="A82"/>
          <cell r="B82" t="str">
            <v>Бош бухгалтер имзоси:</v>
          </cell>
          <cell r="C82"/>
          <cell r="D82"/>
          <cell r="E82"/>
        </row>
        <row r="83">
          <cell r="A83"/>
          <cell r="B83"/>
          <cell r="C83"/>
          <cell r="D83"/>
          <cell r="E83"/>
        </row>
        <row r="84">
          <cell r="A84"/>
          <cell r="B84"/>
          <cell r="C84"/>
          <cell r="D84"/>
          <cell r="E84"/>
        </row>
        <row r="85">
          <cell r="A85"/>
          <cell r="B85"/>
          <cell r="C85"/>
          <cell r="D85"/>
          <cell r="E85"/>
        </row>
        <row r="86">
          <cell r="A86"/>
          <cell r="B86"/>
          <cell r="C86">
            <v>0</v>
          </cell>
          <cell r="D86"/>
          <cell r="E86"/>
        </row>
        <row r="87">
          <cell r="A87"/>
          <cell r="B87"/>
          <cell r="C87"/>
          <cell r="D87"/>
          <cell r="E87"/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</row>
        <row r="92">
          <cell r="A92"/>
        </row>
      </sheetData>
      <sheetData sheetId="1">
        <row r="6">
          <cell r="B6" t="str">
            <v>Марказий банкдаги ҳисобварақлар бўйича фоизли даромадлар</v>
          </cell>
          <cell r="C6">
            <v>13708685</v>
          </cell>
          <cell r="D6">
            <v>13708685</v>
          </cell>
        </row>
        <row r="7">
          <cell r="B7" t="str">
            <v>Бошқа банклардаги ҳисобварақлар бўйича фоизли даромадлар</v>
          </cell>
          <cell r="C7">
            <v>30411494</v>
          </cell>
          <cell r="D7">
            <v>6123098</v>
          </cell>
        </row>
        <row r="8">
          <cell r="B8" t="str">
            <v>Амортизацияланган қиймати бўйича баҳоланадиган қарз қимматли қоғозларга қилинган инвестициялар бўйича фоизли даромадлар</v>
          </cell>
          <cell r="C8">
            <v>0</v>
          </cell>
          <cell r="D8">
            <v>0</v>
          </cell>
        </row>
        <row r="9">
          <cell r="B9" t="str">
            <v>Қимматли қоғозлар ва уларга қилинган инвестициялар бўйича фоизли даромадлар</v>
          </cell>
          <cell r="C9">
            <v>22589996</v>
          </cell>
          <cell r="D9">
            <v>22589996</v>
          </cell>
        </row>
        <row r="10">
          <cell r="B10" t="str">
            <v>Мижозларнинг мажбуриятлари бўйича ҳисобланган фоизлар</v>
          </cell>
          <cell r="C10">
            <v>0</v>
          </cell>
          <cell r="D10">
            <v>0</v>
          </cell>
        </row>
        <row r="11">
          <cell r="B11" t="str">
            <v>Банкнинг тўланмаган акцептлари юзасидан мижозлар мажбуриятлари бўйича фоизли даромадлар</v>
          </cell>
          <cell r="C11">
            <v>0</v>
          </cell>
          <cell r="D11">
            <v>0</v>
          </cell>
        </row>
        <row r="12">
          <cell r="B12" t="str">
            <v>Кредит ва лизинг операциялари бўйича фоизлар, дисконтлар (чегирмалар) ва бадаллар</v>
          </cell>
          <cell r="C12">
            <v>1605541295</v>
          </cell>
          <cell r="D12">
            <v>1386392160</v>
          </cell>
        </row>
        <row r="13">
          <cell r="B13" t="str">
            <v>Қимматли қоғозлар билан амалга оширилган РЕПО битимлари бўйича фоизли даромадлар</v>
          </cell>
          <cell r="C13">
            <v>0</v>
          </cell>
          <cell r="D13">
            <v>0</v>
          </cell>
        </row>
        <row r="14">
          <cell r="B14" t="str">
            <v>Бошқа фоизли даромадлар</v>
          </cell>
          <cell r="C14">
            <v>818988380</v>
          </cell>
          <cell r="D14">
            <v>734943931</v>
          </cell>
        </row>
        <row r="15">
          <cell r="B15" t="str">
            <v>Жами фоизли даромадлар</v>
          </cell>
          <cell r="C15">
            <v>2491239850</v>
          </cell>
          <cell r="D15">
            <v>2163757870</v>
          </cell>
        </row>
        <row r="16">
          <cell r="B16"/>
          <cell r="C16"/>
          <cell r="D16"/>
        </row>
        <row r="17">
          <cell r="B17" t="str">
            <v>ФОИЗЛИ ХAРAЖAТЛAР</v>
          </cell>
          <cell r="C17"/>
          <cell r="D17"/>
        </row>
        <row r="18">
          <cell r="B18" t="str">
            <v>Талаб қилиб олингунча сақланадиган депозитлар бўйича фоизли харажатлар</v>
          </cell>
          <cell r="C18">
            <v>10757742</v>
          </cell>
          <cell r="D18">
            <v>10757742</v>
          </cell>
        </row>
        <row r="19">
          <cell r="B19" t="str">
            <v>Муддатли депозитлар бўйича фоизли харажатлар</v>
          </cell>
          <cell r="C19">
            <v>647260085</v>
          </cell>
          <cell r="D19">
            <v>620742699</v>
          </cell>
        </row>
        <row r="20">
          <cell r="B20" t="str">
            <v>Марказий банкнинг ҳисобварақлари бўйича фоизли харажатлар</v>
          </cell>
          <cell r="C20">
            <v>0</v>
          </cell>
          <cell r="D20">
            <v>0</v>
          </cell>
        </row>
        <row r="21">
          <cell r="B21" t="str">
            <v>Бошқа банкларнинг ҳисобварақлари бўйича фоизли харажатлар</v>
          </cell>
          <cell r="C21">
            <v>75364717</v>
          </cell>
          <cell r="D21">
            <v>70543221</v>
          </cell>
        </row>
        <row r="22">
          <cell r="B22" t="str">
            <v>Жами депозитлар бўйича фоизли харажатлар</v>
          </cell>
          <cell r="C22">
            <v>733382544</v>
          </cell>
          <cell r="D22">
            <v>702043662</v>
          </cell>
        </row>
        <row r="23">
          <cell r="B23" t="str">
            <v>Кредитлар бўйича фоизли харажатлар</v>
          </cell>
          <cell r="C23">
            <v>533387032</v>
          </cell>
          <cell r="D23">
            <v>274886889</v>
          </cell>
        </row>
        <row r="24">
          <cell r="B24" t="str">
            <v>Қимматли қоғозлар билан амалга оширилган РЕПО битимлари бўйича фоизли харажатлар</v>
          </cell>
          <cell r="C24">
            <v>0</v>
          </cell>
          <cell r="D24">
            <v>0</v>
          </cell>
        </row>
        <row r="25">
          <cell r="B25" t="str">
            <v>Бошқа фоизли харажатлар</v>
          </cell>
          <cell r="C25">
            <v>845479725</v>
          </cell>
          <cell r="D25">
            <v>758068235</v>
          </cell>
        </row>
        <row r="26">
          <cell r="B26" t="str">
            <v>Жами кредит ва бошқа қарздорликлар бўйича фоизли харажатлар</v>
          </cell>
          <cell r="C26">
            <v>1378866757</v>
          </cell>
          <cell r="D26">
            <v>1032955124</v>
          </cell>
        </row>
        <row r="27">
          <cell r="B27" t="str">
            <v>Жами фоизли харажатлар</v>
          </cell>
          <cell r="C27">
            <v>2112249301</v>
          </cell>
          <cell r="D27">
            <v>1734998786</v>
          </cell>
        </row>
        <row r="28">
          <cell r="B28"/>
          <cell r="C28"/>
          <cell r="D28"/>
        </row>
        <row r="29">
          <cell r="B29" t="str">
            <v>Активлар бўйича эҳтимолий йўқотишларга қарши яратилган захираларни баҳолашдан олдинги соф даромад</v>
          </cell>
          <cell r="C29">
            <v>378990549</v>
          </cell>
          <cell r="D29">
            <v>428759084</v>
          </cell>
        </row>
        <row r="30">
          <cell r="B30" t="str">
            <v>Минус: Кредит ва лизинглар бўйича кўрилиши мумкин бўлган зарарларни баҳолаш</v>
          </cell>
          <cell r="C30">
            <v>267504358</v>
          </cell>
          <cell r="D30">
            <v>147500313</v>
          </cell>
        </row>
        <row r="31">
          <cell r="B31" t="str">
            <v>Минус: Қимматли қоғозлар бўйича кўрилиши мумкин бўлган зарарларни баҳолаш</v>
          </cell>
          <cell r="C31">
            <v>0</v>
          </cell>
          <cell r="D31">
            <v>0</v>
          </cell>
        </row>
        <row r="32">
          <cell r="B32" t="str">
            <v>Минус: Инвестициялар бўйича кўрилиши мумкин бўлган зарарларни баҳолаш</v>
          </cell>
          <cell r="C32">
            <v>0</v>
          </cell>
          <cell r="D32">
            <v>0</v>
          </cell>
        </row>
        <row r="33">
          <cell r="B33" t="str">
            <v>Минус: Бошқа активлар бўйича кўрилиши мумкин бўлган зарарларни баҳолаш</v>
          </cell>
          <cell r="C33">
            <v>4099616</v>
          </cell>
          <cell r="D33">
            <v>4099616</v>
          </cell>
        </row>
        <row r="34">
          <cell r="B34" t="str">
            <v>Активлар бўйича эҳтимолий зарарларни баҳолашдан кейинги соф даромад</v>
          </cell>
          <cell r="C34">
            <v>107386575</v>
          </cell>
          <cell r="D34">
            <v>277159155</v>
          </cell>
        </row>
        <row r="35">
          <cell r="B35"/>
          <cell r="C35"/>
          <cell r="D35"/>
        </row>
        <row r="36">
          <cell r="B36" t="str">
            <v>ФОИЗСИЗ ДАРОМАДЛАР</v>
          </cell>
          <cell r="C36"/>
          <cell r="D36"/>
        </row>
        <row r="37">
          <cell r="B37" t="str">
            <v>Кўрсатилган хизматлар ва воситачилик учун олинган даромадлар</v>
          </cell>
          <cell r="C37">
            <v>151946154</v>
          </cell>
          <cell r="D37">
            <v>139905826</v>
          </cell>
        </row>
        <row r="38">
          <cell r="B38" t="str">
            <v>Хорижий валюталардаги фойда</v>
          </cell>
          <cell r="C38">
            <v>261347382</v>
          </cell>
          <cell r="D38">
            <v>294310</v>
          </cell>
        </row>
        <row r="39">
          <cell r="B39" t="str">
            <v>Тижорат операцияларидан олинган фойда</v>
          </cell>
          <cell r="C39">
            <v>0</v>
          </cell>
          <cell r="D39">
            <v>0</v>
          </cell>
        </row>
        <row r="40">
          <cell r="B40" t="str">
            <v>Инвестициядан олинган фойда ва дивидендлар</v>
          </cell>
          <cell r="C40">
            <v>2721909</v>
          </cell>
          <cell r="D40">
            <v>2721909</v>
          </cell>
        </row>
        <row r="41">
          <cell r="B41" t="str">
            <v>Активлар бўйича эҳтимолий йўқотишларга қарши яратилган захираларнинг қайтарилиши</v>
          </cell>
          <cell r="C41">
            <v>576997</v>
          </cell>
          <cell r="D41">
            <v>576997</v>
          </cell>
        </row>
        <row r="42">
          <cell r="B42" t="str">
            <v>Ҳисобдан чиқарилган кредитлар қайтарилиши билан боғлиқ даромадлар</v>
          </cell>
          <cell r="C42">
            <v>328003643</v>
          </cell>
          <cell r="D42">
            <v>219695983</v>
          </cell>
        </row>
        <row r="43">
          <cell r="B43" t="str">
            <v>Бошқа фоизсиз даромадлар</v>
          </cell>
          <cell r="C43">
            <v>8262589</v>
          </cell>
          <cell r="D43">
            <v>8262589</v>
          </cell>
        </row>
        <row r="44">
          <cell r="B44" t="str">
            <v>Жами фоизсиз даромадлар</v>
          </cell>
          <cell r="C44">
            <v>752858674</v>
          </cell>
          <cell r="D44">
            <v>371457614</v>
          </cell>
        </row>
        <row r="45">
          <cell r="B45"/>
          <cell r="C45"/>
          <cell r="D45"/>
        </row>
        <row r="46">
          <cell r="B46" t="str">
            <v>ФОИЗСИЗ ХАРАЖАТЛАР</v>
          </cell>
          <cell r="C46"/>
          <cell r="D46"/>
        </row>
        <row r="47">
          <cell r="B47" t="str">
            <v>Воситачилик ва кўрсатилган хизматлар учун харажатлар</v>
          </cell>
          <cell r="C47">
            <v>68154296</v>
          </cell>
          <cell r="D47">
            <v>66973890</v>
          </cell>
        </row>
        <row r="48">
          <cell r="B48" t="str">
            <v>Хорижий валютада кўрилган зарарлар</v>
          </cell>
          <cell r="C48">
            <v>239185450</v>
          </cell>
          <cell r="D48">
            <v>3323300</v>
          </cell>
        </row>
        <row r="49">
          <cell r="B49" t="str">
            <v>Тижорат операцияларидан кўрилган зарарлар</v>
          </cell>
          <cell r="C49">
            <v>0</v>
          </cell>
          <cell r="D49">
            <v>0</v>
          </cell>
        </row>
        <row r="50">
          <cell r="B50" t="str">
            <v>Инвестициядан кўрилган зарарлар</v>
          </cell>
          <cell r="C50">
            <v>0</v>
          </cell>
          <cell r="D50">
            <v>0</v>
          </cell>
        </row>
        <row r="51">
          <cell r="B51" t="str">
            <v>Бошқа фоизсиз харажатлар</v>
          </cell>
          <cell r="C51">
            <v>515362</v>
          </cell>
          <cell r="D51">
            <v>515362</v>
          </cell>
        </row>
        <row r="52">
          <cell r="B52" t="str">
            <v>Жами фоизсиз харажатлар</v>
          </cell>
          <cell r="C52">
            <v>307855108</v>
          </cell>
          <cell r="D52">
            <v>70812552</v>
          </cell>
        </row>
        <row r="53">
          <cell r="B53"/>
          <cell r="C53"/>
          <cell r="D53"/>
        </row>
        <row r="54">
          <cell r="B54" t="str">
            <v>ОПЕРАЦИОН ХАРАЖАТЛАРДАН ОЛДИНГИ СОФ ДАРОМАД</v>
          </cell>
          <cell r="C54">
            <v>552390141</v>
          </cell>
          <cell r="D54">
            <v>577804217</v>
          </cell>
        </row>
        <row r="55">
          <cell r="B55"/>
          <cell r="C55"/>
          <cell r="D55"/>
        </row>
        <row r="56">
          <cell r="B56" t="str">
            <v>ОПЕРАЦИОН ХАРАЖАТЛАР</v>
          </cell>
          <cell r="C56"/>
          <cell r="D56"/>
        </row>
        <row r="57">
          <cell r="B57" t="str">
            <v>Банк хизматчиларига иш ҳақи ва бошқа харажатлар</v>
          </cell>
          <cell r="C57">
            <v>296172355</v>
          </cell>
          <cell r="D57">
            <v>296172355</v>
          </cell>
        </row>
        <row r="58">
          <cell r="B58" t="str">
            <v xml:space="preserve">шундан, раҳбар ходимларга тўловлар </v>
          </cell>
          <cell r="C58">
            <v>2709193</v>
          </cell>
          <cell r="D58">
            <v>2709193</v>
          </cell>
        </row>
        <row r="59">
          <cell r="B59" t="str">
            <v>Ижара ва таъминот харажатлари</v>
          </cell>
          <cell r="C59">
            <v>56707840</v>
          </cell>
          <cell r="D59">
            <v>56707840</v>
          </cell>
        </row>
        <row r="60">
          <cell r="B60" t="str">
            <v>Хизмат сафари ва транспорт харажатлари</v>
          </cell>
          <cell r="C60">
            <v>6894026</v>
          </cell>
          <cell r="D60">
            <v>6178408</v>
          </cell>
        </row>
        <row r="61">
          <cell r="B61" t="str">
            <v>Маъмурий харажатлар</v>
          </cell>
          <cell r="C61">
            <v>13896639</v>
          </cell>
          <cell r="D61">
            <v>13896639</v>
          </cell>
        </row>
        <row r="62">
          <cell r="B62" t="str">
            <v>Репрезентация ва хайрия</v>
          </cell>
          <cell r="C62">
            <v>19209602</v>
          </cell>
          <cell r="D62">
            <v>19209602</v>
          </cell>
        </row>
        <row r="63">
          <cell r="B63" t="str">
            <v>Эскириш харажатлари</v>
          </cell>
          <cell r="C63">
            <v>54625991</v>
          </cell>
          <cell r="D63">
            <v>54625991</v>
          </cell>
        </row>
        <row r="64">
          <cell r="B64" t="str">
            <v>Суғурта харажатлари</v>
          </cell>
          <cell r="C64">
            <v>18203231</v>
          </cell>
          <cell r="D64">
            <v>18203231</v>
          </cell>
        </row>
        <row r="65">
          <cell r="B65" t="str">
            <v>Солиқлар (фойда солиғидан ташқари) ва лицензиялар</v>
          </cell>
          <cell r="C65">
            <v>15802789</v>
          </cell>
          <cell r="D65">
            <v>15802789</v>
          </cell>
        </row>
        <row r="66">
          <cell r="B66" t="str">
            <v>Жарима ва пенялар</v>
          </cell>
          <cell r="C66">
            <v>0</v>
          </cell>
          <cell r="D66"/>
        </row>
        <row r="67">
          <cell r="B67" t="str">
            <v>Бошқа операцион харажатлар</v>
          </cell>
          <cell r="C67">
            <v>8199135</v>
          </cell>
          <cell r="D67">
            <v>7992266</v>
          </cell>
        </row>
        <row r="68">
          <cell r="B68" t="str">
            <v>Жами операцион харажатлар</v>
          </cell>
          <cell r="C68">
            <v>489711608</v>
          </cell>
          <cell r="D68">
            <v>488789121</v>
          </cell>
        </row>
        <row r="69">
          <cell r="B69" t="str">
            <v xml:space="preserve">  </v>
          </cell>
          <cell r="C69"/>
          <cell r="D69"/>
        </row>
        <row r="70">
          <cell r="B70" t="str">
            <v xml:space="preserve">Солиқ тўлангунга қадар соф фойда ва бошқа тузатишлар </v>
          </cell>
          <cell r="C70">
            <v>62678533</v>
          </cell>
          <cell r="D70">
            <v>89015096</v>
          </cell>
        </row>
        <row r="71">
          <cell r="B71" t="str">
            <v>Фойда солиғини баҳолаш</v>
          </cell>
          <cell r="C71">
            <v>13652389</v>
          </cell>
          <cell r="D71">
            <v>13652389</v>
          </cell>
        </row>
        <row r="72">
          <cell r="B72"/>
          <cell r="C72"/>
          <cell r="D72"/>
        </row>
        <row r="73">
          <cell r="B73" t="str">
            <v>ТУЗАТИШЛАР КИРИТИЛГУНГА ҚАДАР ДАРОМАД</v>
          </cell>
          <cell r="C73">
            <v>49026144</v>
          </cell>
          <cell r="D73">
            <v>75362707</v>
          </cell>
        </row>
        <row r="74">
          <cell r="B74" t="str">
            <v>Кўзда тутилмаган даромад ёки зарарлар, соф</v>
          </cell>
          <cell r="C74">
            <v>0</v>
          </cell>
          <cell r="D74">
            <v>0</v>
          </cell>
        </row>
        <row r="75">
          <cell r="B75" t="str">
            <v>Фойда бўйича тузатишлар, соф</v>
          </cell>
          <cell r="C75">
            <v>0</v>
          </cell>
          <cell r="D75">
            <v>0</v>
          </cell>
        </row>
        <row r="76">
          <cell r="B76"/>
          <cell r="C76"/>
          <cell r="D76"/>
        </row>
        <row r="77">
          <cell r="B77" t="str">
            <v>СОФ ФОЙДА (ЗАРАР)</v>
          </cell>
          <cell r="C77">
            <v>49026144</v>
          </cell>
          <cell r="D77">
            <v>75362707</v>
          </cell>
        </row>
        <row r="79">
          <cell r="B79" t="str">
            <v>Бошқарув Раис имзоси:</v>
          </cell>
          <cell r="C79"/>
          <cell r="D79"/>
        </row>
        <row r="80">
          <cell r="B80"/>
          <cell r="C80"/>
          <cell r="D80"/>
        </row>
        <row r="81">
          <cell r="B81" t="str">
            <v>Бош бухгалтер имзоси:</v>
          </cell>
          <cell r="C81"/>
          <cell r="D81"/>
        </row>
      </sheetData>
      <sheetData sheetId="2">
        <row r="7">
          <cell r="C7">
            <v>299143742</v>
          </cell>
        </row>
        <row r="9">
          <cell r="C9">
            <v>1552487631</v>
          </cell>
          <cell r="E9">
            <v>0</v>
          </cell>
          <cell r="G9">
            <v>266195063</v>
          </cell>
        </row>
      </sheetData>
      <sheetData sheetId="3"/>
      <sheetData sheetId="4">
        <row r="7">
          <cell r="I7">
            <v>0.18960001490979209</v>
          </cell>
        </row>
        <row r="9">
          <cell r="I9">
            <v>0.16915128924838813</v>
          </cell>
        </row>
        <row r="11">
          <cell r="I11">
            <v>0.16914689914431361</v>
          </cell>
        </row>
        <row r="13">
          <cell r="I13">
            <v>0.18436525497542111</v>
          </cell>
        </row>
        <row r="16">
          <cell r="I16">
            <v>0.10400966565810583</v>
          </cell>
        </row>
        <row r="18">
          <cell r="I18">
            <v>1.9851573381793794</v>
          </cell>
        </row>
        <row r="21">
          <cell r="I21">
            <v>1.1487889031787248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Y207"/>
  <sheetViews>
    <sheetView zoomScale="70" zoomScaleNormal="70" workbookViewId="0">
      <pane xSplit="2" ySplit="4" topLeftCell="W5" activePane="bottomRight" state="frozen"/>
      <selection pane="topRight" activeCell="C1" sqref="C1"/>
      <selection pane="bottomLeft" activeCell="A5" sqref="A5"/>
      <selection pane="bottomRight" activeCell="AC2" sqref="AC2"/>
    </sheetView>
  </sheetViews>
  <sheetFormatPr baseColWidth="8" defaultRowHeight="15"/>
  <cols>
    <col width="6.42578125" customWidth="1" style="210" min="1" max="1"/>
    <col width="53.85546875" customWidth="1" style="132" min="2" max="2"/>
    <col width="19.28515625" customWidth="1" style="210" min="3" max="3"/>
    <col width="21.7109375" customWidth="1" style="210" min="4" max="4"/>
    <col width="19.7109375" customWidth="1" style="210" min="5" max="5"/>
    <col width="18.7109375" customWidth="1" style="210" min="6" max="6"/>
    <col width="18.5703125" customWidth="1" style="210" min="7" max="7"/>
    <col width="18.140625" customWidth="1" style="210" min="8" max="8"/>
    <col width="21.42578125" customWidth="1" style="210" min="9" max="9"/>
    <col width="21.140625" customWidth="1" style="210" min="10" max="10"/>
    <col width="20.7109375" customWidth="1" style="210" min="11" max="11"/>
    <col width="20.42578125" customWidth="1" style="210" min="12" max="12"/>
    <col width="19.85546875" customWidth="1" style="210" min="13" max="13"/>
    <col width="18.5703125" customWidth="1" style="210" min="14" max="14"/>
    <col width="18" customWidth="1" style="210" min="15" max="15"/>
    <col width="19.5703125" customWidth="1" style="210" min="16" max="16"/>
    <col width="18.5703125" customWidth="1" style="210" min="17" max="17"/>
    <col width="16.7109375" customWidth="1" style="210" min="18" max="18"/>
    <col width="19.42578125" customWidth="1" style="210" min="19" max="20"/>
    <col width="18" customWidth="1" style="210" min="21" max="21"/>
    <col width="20.5703125" customWidth="1" style="210" min="22" max="22"/>
    <col width="17.85546875" customWidth="1" style="210" min="23" max="23"/>
    <col width="19" customWidth="1" style="210" min="24" max="24"/>
    <col width="18.28515625" customWidth="1" style="210" min="25" max="25"/>
    <col width="21.28515625" customWidth="1" style="210" min="26" max="26"/>
    <col width="18.140625" customWidth="1" style="210" min="27" max="27"/>
    <col width="18.28515625" customWidth="1" style="210" min="28" max="28"/>
    <col width="19.28515625" customWidth="1" style="210" min="29" max="29"/>
    <col width="19.7109375" customWidth="1" style="210" min="30" max="30"/>
    <col width="20.42578125" customWidth="1" style="210" min="31" max="31"/>
    <col width="22.85546875" customWidth="1" style="210" min="32" max="32"/>
    <col width="25.28515625" customWidth="1" style="210" min="33" max="33"/>
    <col width="21.7109375" customWidth="1" style="289" min="34" max="34"/>
    <col width="24" customWidth="1" style="210" min="35" max="35"/>
    <col width="21" customWidth="1" style="210" min="36" max="37"/>
    <col width="11.140625" bestFit="1" customWidth="1" style="210" min="38" max="38"/>
    <col width="12.42578125" bestFit="1" customWidth="1" style="210" min="39" max="39"/>
    <col width="11.42578125" bestFit="1" customWidth="1" style="210" min="40" max="40"/>
    <col width="9.140625" customWidth="1" style="210" min="41" max="41"/>
    <col width="13" customWidth="1" style="210" min="42" max="45"/>
    <col width="9.140625" customWidth="1" style="210" min="46" max="46"/>
    <col width="9.28515625" bestFit="1" customWidth="1" style="210" min="47" max="50"/>
    <col width="9.28515625" bestFit="1" customWidth="1" style="168" min="51" max="51"/>
    <col width="9.140625" customWidth="1" style="210" min="52" max="16384"/>
  </cols>
  <sheetData>
    <row r="1" ht="56.25" customHeight="1">
      <c r="A1" s="236" t="n"/>
      <c r="B1" s="226" t="inlineStr">
        <is>
          <t>Mamlakat va hamkor banklarga joylashtirilishi mumkin bo‘lgan mablag‘larga limit o‘rnatish tartibiga ilova</t>
        </is>
      </c>
      <c r="C1" s="271" t="inlineStr">
        <is>
          <t>Mahalliy banklarga joylashtirilishi mumkin bo‘lgan mablag‘larga limit o‘rnatish modeli</t>
        </is>
      </c>
      <c r="AK1" s="210" t="n"/>
    </row>
    <row r="2" ht="15.75" customHeight="1">
      <c r="B2" s="234" t="n">
        <v>45839</v>
      </c>
      <c r="C2" s="235" t="inlineStr">
        <is>
          <t>ming. so‘m</t>
        </is>
      </c>
      <c r="N2" s="210" t="inlineStr">
        <is>
          <t xml:space="preserve">  </t>
        </is>
      </c>
      <c r="AD2" s="232" t="n"/>
      <c r="AE2" s="233" t="n"/>
      <c r="AF2" s="80" t="n"/>
      <c r="AG2" s="226" t="n"/>
    </row>
    <row r="3">
      <c r="B3" s="79" t="n"/>
      <c r="C3" s="210" t="n">
        <v>1</v>
      </c>
      <c r="D3" s="210" t="n">
        <v>2</v>
      </c>
      <c r="E3" s="210" t="n">
        <v>3</v>
      </c>
      <c r="F3" s="210" t="n">
        <v>4</v>
      </c>
      <c r="G3" s="210" t="n">
        <v>5</v>
      </c>
      <c r="H3" s="210" t="n">
        <v>6</v>
      </c>
      <c r="I3" s="210" t="n">
        <v>7</v>
      </c>
      <c r="J3" s="210" t="n">
        <v>8</v>
      </c>
      <c r="K3" s="210" t="n">
        <v>9</v>
      </c>
      <c r="L3" s="210" t="n">
        <v>10</v>
      </c>
      <c r="M3" s="210" t="n">
        <v>11</v>
      </c>
      <c r="N3" s="210" t="n">
        <v>12</v>
      </c>
      <c r="O3" s="210" t="n">
        <v>13</v>
      </c>
      <c r="P3" s="210" t="n">
        <v>14</v>
      </c>
      <c r="Q3" s="210" t="n">
        <v>15</v>
      </c>
      <c r="R3" s="210" t="n">
        <v>16</v>
      </c>
      <c r="S3" s="210" t="n">
        <v>17</v>
      </c>
      <c r="T3" s="210" t="n">
        <v>18</v>
      </c>
      <c r="U3" s="210" t="n">
        <v>19</v>
      </c>
      <c r="V3" s="210" t="n">
        <v>20</v>
      </c>
      <c r="W3" s="210" t="n">
        <v>21</v>
      </c>
      <c r="X3" s="210" t="n">
        <v>22</v>
      </c>
      <c r="Y3" s="210" t="n">
        <v>23</v>
      </c>
      <c r="Z3" s="210" t="n">
        <v>24</v>
      </c>
      <c r="AA3" s="210" t="n">
        <v>25</v>
      </c>
      <c r="AB3" s="210" t="n">
        <v>26</v>
      </c>
      <c r="AC3" s="210" t="n">
        <v>27</v>
      </c>
      <c r="AD3" s="210" t="n">
        <v>28</v>
      </c>
      <c r="AE3" s="210" t="n">
        <v>29</v>
      </c>
      <c r="AF3" s="210" t="n">
        <v>30</v>
      </c>
      <c r="AG3" s="210" t="n">
        <v>31</v>
      </c>
      <c r="AH3" s="210" t="n">
        <v>32</v>
      </c>
      <c r="AI3" s="210" t="n">
        <v>33</v>
      </c>
      <c r="AJ3" s="210" t="n">
        <v>34</v>
      </c>
      <c r="AK3" s="210" t="n">
        <v>35</v>
      </c>
    </row>
    <row r="4" ht="63" customHeight="1">
      <c r="A4" s="81" t="inlineStr">
        <is>
          <t>№</t>
        </is>
      </c>
      <c r="B4" s="82" t="inlineStr">
        <is>
          <t>АКТИВЛАР</t>
        </is>
      </c>
      <c r="C4" s="82" t="inlineStr">
        <is>
          <t>АКБ "ASIA ALLIANCE BANK"</t>
        </is>
      </c>
      <c r="D4" s="82" t="inlineStr">
        <is>
          <t>АТБ "АГРОБАНК"</t>
        </is>
      </c>
      <c r="E4" s="82" t="inlineStr">
        <is>
          <t>АК "Алокабанк"</t>
        </is>
      </c>
      <c r="F4" s="82" t="inlineStr">
        <is>
          <t>Anorbank</t>
        </is>
      </c>
      <c r="G4" s="82" t="inlineStr">
        <is>
          <t>"Асака" банк</t>
        </is>
      </c>
      <c r="H4" s="82" t="inlineStr">
        <is>
          <t>ЧАКБ"ДАВР БАНК"</t>
        </is>
      </c>
      <c r="I4" s="82" t="inlineStr">
        <is>
          <t>АКБ Hamkorbank</t>
        </is>
      </c>
      <c r="J4" s="82" t="inlineStr">
        <is>
          <t>АКБ "InFinBank"</t>
        </is>
      </c>
      <c r="K4" s="82" t="inlineStr">
        <is>
          <t>АИКБ "Ипак Йули"</t>
        </is>
      </c>
      <c r="L4" s="82" t="inlineStr">
        <is>
          <t>ИПОТЕКА-БАНК АТИБ</t>
        </is>
      </c>
      <c r="M4" s="82" t="inlineStr">
        <is>
          <t xml:space="preserve">АКБ "Капиталбанк" </t>
        </is>
      </c>
      <c r="N4" s="82" t="inlineStr">
        <is>
          <t>АО "КДБ Банк Узбекистан"</t>
        </is>
      </c>
      <c r="O4" s="82" t="inlineStr">
        <is>
          <t>АКБ "Мадад Инвест Банк"</t>
        </is>
      </c>
      <c r="P4" s="82" t="inlineStr">
        <is>
          <t>АО "Национальный банк ВЭД РУ"</t>
        </is>
      </c>
      <c r="Q4" s="82" t="inlineStr">
        <is>
          <t>ЧАКБ "Ориент Финанс"</t>
        </is>
      </c>
      <c r="R4" s="82" t="inlineStr">
        <is>
          <t>АО "Пойтахт банк"</t>
        </is>
      </c>
      <c r="S4" s="82" t="inlineStr">
        <is>
          <t>АТБ Biznesni rivojlantirish banki</t>
        </is>
      </c>
      <c r="T4" s="82" t="inlineStr">
        <is>
          <t>Octobank</t>
        </is>
      </c>
      <c r="U4" s="82" t="inlineStr">
        <is>
          <t xml:space="preserve">Садерат банк </t>
        </is>
      </c>
      <c r="V4" s="82" t="inlineStr">
        <is>
          <t xml:space="preserve"> "Гарант банк" АЖ</t>
        </is>
      </c>
      <c r="W4" s="82" t="inlineStr">
        <is>
          <t>АКБ "Тибиси банк"</t>
        </is>
      </c>
      <c r="X4" s="82" t="inlineStr">
        <is>
          <t>АКБ "Tenge Bank"</t>
        </is>
      </c>
      <c r="Y4" s="82" t="inlineStr">
        <is>
          <t>ЧАБ "Трастбанк"</t>
        </is>
      </c>
      <c r="Z4" s="82" t="inlineStr">
        <is>
          <t>АКБ "ТУРОНБАНК"</t>
        </is>
      </c>
      <c r="AA4" s="82" t="inlineStr">
        <is>
          <t>AVO bank</t>
        </is>
      </c>
      <c r="AB4" s="82" t="inlineStr">
        <is>
          <t>АКБ УНИВЕРСАЛ БАНК</t>
        </is>
      </c>
      <c r="AC4" s="82" t="inlineStr">
        <is>
          <t>АК УЗПРОМСТРОЙБАНК</t>
        </is>
      </c>
      <c r="AD4" s="82" t="inlineStr">
        <is>
          <t>АК Народный банк</t>
        </is>
      </c>
      <c r="AE4" s="82" t="inlineStr">
        <is>
          <t>АО "Ziraat Bank Uzbekistan"</t>
        </is>
      </c>
      <c r="AF4" s="82" t="inlineStr">
        <is>
          <t>"UZUM BANK" AJ</t>
        </is>
      </c>
      <c r="AG4" s="82" t="inlineStr">
        <is>
          <t>Smart bank</t>
        </is>
      </c>
      <c r="AH4" s="82" t="inlineStr">
        <is>
          <t>Apex bank</t>
        </is>
      </c>
      <c r="AI4" s="82" t="inlineStr">
        <is>
          <t>Hayot bank</t>
        </is>
      </c>
      <c r="AJ4" s="82" t="inlineStr">
        <is>
          <t>Yangi bank</t>
        </is>
      </c>
      <c r="AK4" s="263" t="inlineStr">
        <is>
          <t>MKBank</t>
        </is>
      </c>
    </row>
    <row r="5">
      <c r="A5" s="183" t="n">
        <v>1</v>
      </c>
      <c r="B5" s="87" t="inlineStr">
        <is>
          <t>Кассадаги нақд пул ва бошқа тўлов ҳужжатлари</t>
        </is>
      </c>
      <c r="C5" s="86">
        <f>+IFERROR(VLOOKUP($A5,[1]Лист1!$A$5:$E$1048576,3,0),0)</f>
        <v/>
      </c>
      <c r="D5" s="86">
        <f>+IFERROR(VLOOKUP($A5,'[2]1'!$A$5:$E$1048576,3,0),0)</f>
        <v/>
      </c>
      <c r="E5" s="86">
        <f>+IFERROR(VLOOKUP($A5,'[3]1'!$A$5:$E$1048576,3,0),0)</f>
        <v/>
      </c>
      <c r="F5" s="86">
        <f>+IFERROR(VLOOKUP($A5,[4]Balance!$A$5:$E$1048576,3,0),0)</f>
        <v/>
      </c>
      <c r="G5" s="86">
        <f>+IFERROR(VLOOKUP($A5,'[5]1'!$A$5:$E$1048576,3,0),0)</f>
        <v/>
      </c>
      <c r="H5" s="86">
        <f>+IFERROR(VLOOKUP($A5,[6]Balance!$A$5:$E$1048576,3,0),0)</f>
        <v/>
      </c>
      <c r="I5" s="86">
        <f>+IFERROR(VLOOKUP($A5,[7]Balance!$A$5:$E$1048576,3,0),0)</f>
        <v/>
      </c>
      <c r="J5" s="86">
        <f>+IFERROR(VLOOKUP($A5,'[8]1'!$A$5:$E$1048576,3,0),0)</f>
        <v/>
      </c>
      <c r="K5" s="86">
        <f>+IFERROR(VLOOKUP($A5,'[9]1'!$A$5:$E$1048576,3,0),0)</f>
        <v/>
      </c>
      <c r="L5" s="86">
        <f>+IFERROR(VLOOKUP($A5,'[10]1'!$A$5:$E$1048576,3,0),0)</f>
        <v/>
      </c>
      <c r="M5" s="86">
        <f>+IFERROR(VLOOKUP($A5,'[11]1'!$A$5:$E$1048576,3,0),0)</f>
        <v/>
      </c>
      <c r="N5" s="86">
        <f>+IFERROR(VLOOKUP($A5,[12]Balance!$A$5:$E$1048576,3,0),0)</f>
        <v/>
      </c>
      <c r="O5" s="86">
        <f>+IFERROR(VLOOKUP($A5,'[13]1 т'!$A$5:$E$1048576,3,0),0)</f>
        <v/>
      </c>
      <c r="P5" s="86">
        <f>+IFERROR(VLOOKUP($A5,[14]Balance!$A$5:$E$1048576,3,0),0)</f>
        <v/>
      </c>
      <c r="Q5" s="86">
        <f>+IFERROR(VLOOKUP($A5,[15]Balance!$A$5:$E$1048576,3,0),0)</f>
        <v/>
      </c>
      <c r="R5" s="86">
        <f>+IFERROR(VLOOKUP($A5,'[16]1'!$A$5:$E$1048576,3,0),0)</f>
        <v/>
      </c>
      <c r="S5" s="86">
        <f>+IFERROR(VLOOKUP($A5,'[17]1'!$A$5:$E$1048576,3,0),0)</f>
        <v/>
      </c>
      <c r="T5" s="86">
        <f>+IFERROR(VLOOKUP($A5,'[18]1'!$A$5:$E$1048576,3,0),0)</f>
        <v/>
      </c>
      <c r="U5" s="86">
        <f>+IFERROR(VLOOKUP($A5,[19]Balans!$A$5:$E$1048576,3,0),0)</f>
        <v/>
      </c>
      <c r="V5" s="86">
        <f>+IFERROR(VLOOKUP($A5,'[20]1'!$A$5:$E$1048576,3,0),0)</f>
        <v/>
      </c>
      <c r="W5" s="86">
        <f>+IFERROR(VLOOKUP($A5,[21]Balance!$A$5:$E$1048576,3,0),0)</f>
        <v/>
      </c>
      <c r="X5" s="86">
        <f>+IFERROR(VLOOKUP($A5,'[22]1'!$A$5:$E$1048576,3,0),0)</f>
        <v/>
      </c>
      <c r="Y5" s="86">
        <f>+IFERROR(VLOOKUP($A5,[23]Лист1!$A$5:$E$1048576,3,0),0)</f>
        <v/>
      </c>
      <c r="Z5" s="86">
        <f>+IFERROR(VLOOKUP($A5,'[24]1'!$A$5:$E$1048576,3,0),0)</f>
        <v/>
      </c>
      <c r="AA5" s="86">
        <f>+IFERROR(VLOOKUP($A5,[25]Balance!$A$5:$E$1048576,3,0),0)</f>
        <v/>
      </c>
      <c r="AB5" s="86">
        <f>+IFERROR(VLOOKUP($A5,'[26]1'!$A$5:$E$1048576,3,0),0)</f>
        <v/>
      </c>
      <c r="AC5" s="86">
        <f>+IFERROR(VLOOKUP($A5,'[27]1'!$A$5:$E$1048576,3,0),0)</f>
        <v/>
      </c>
      <c r="AD5" s="86">
        <f>+IFERROR(VLOOKUP($A5,'[28]1'!$A$5:$E$1048576,3,0),0)</f>
        <v/>
      </c>
      <c r="AE5" s="86">
        <f>+IFERROR(VLOOKUP($A5,[29]Лист1!$A$5:$E$1048576,3,0),0)</f>
        <v/>
      </c>
      <c r="AF5" s="86">
        <f>+IFERROR(VLOOKUP($A5,'[30]1'!$A$5:$E$1048576,3,0),0)</f>
        <v/>
      </c>
      <c r="AG5" s="86">
        <f>+IFERROR(VLOOKUP($A5,'[31]1'!$A$5:$E$1048576,3,0),0)</f>
        <v/>
      </c>
      <c r="AH5" s="86">
        <f>+IFERROR(VLOOKUP($A5,'[32]1-жадвал'!$A$5:$E$1048576,3,0),0)</f>
        <v/>
      </c>
      <c r="AI5" s="248">
        <f>+IFERROR(VLOOKUP($A5,[33]Balance!$A$5:$E$1048576,3,0),0)</f>
        <v/>
      </c>
      <c r="AJ5" s="100">
        <f>+IFERROR(VLOOKUP($A5,[34]Balance!$A$5:$E$1048576,3,0),0)</f>
        <v/>
      </c>
      <c r="AK5" s="100">
        <f>+IFERROR(VLOOKUP($A5,'[35]1'!$A$5:$E$1048576,3,0),0)</f>
        <v/>
      </c>
    </row>
    <row r="6">
      <c r="A6" s="183" t="n">
        <v>2</v>
      </c>
      <c r="B6" s="87" t="inlineStr">
        <is>
          <t>Банкнинг Марказий банкдаги маблағлари</t>
        </is>
      </c>
      <c r="C6" s="86">
        <f>+IFERROR(VLOOKUP($A6,[1]Лист1!$A$5:$E$1048576,3,0),0)</f>
        <v/>
      </c>
      <c r="D6" s="86">
        <f>+IFERROR(VLOOKUP($A6,'[2]1'!$A$5:$E$1048576,3,0),0)</f>
        <v/>
      </c>
      <c r="E6" s="86">
        <f>+IFERROR(VLOOKUP($A6,'[3]1'!$A$5:$E$1048576,3,0),0)</f>
        <v/>
      </c>
      <c r="F6" s="86">
        <f>+IFERROR(VLOOKUP($A6,[4]Balance!$A$5:$E$1048576,3,0),0)</f>
        <v/>
      </c>
      <c r="G6" s="86">
        <f>+IFERROR(VLOOKUP($A6,'[5]1'!$A$5:$E$1048576,3,0),0)</f>
        <v/>
      </c>
      <c r="H6" s="86">
        <f>+IFERROR(VLOOKUP($A6,[6]Balance!$A$5:$E$1048576,3,0),0)</f>
        <v/>
      </c>
      <c r="I6" s="86">
        <f>+IFERROR(VLOOKUP($A6,[7]Balance!$A$5:$E$1048576,3,0),0)</f>
        <v/>
      </c>
      <c r="J6" s="86">
        <f>+IFERROR(VLOOKUP($A6,'[8]1'!$A$5:$E$1048576,3,0),0)</f>
        <v/>
      </c>
      <c r="K6" s="86">
        <f>+IFERROR(VLOOKUP($A6,'[9]1'!$A$5:$E$1048576,3,0),0)</f>
        <v/>
      </c>
      <c r="L6" s="86">
        <f>+IFERROR(VLOOKUP($A6,'[10]1'!$A$5:$E$1048576,3,0),0)</f>
        <v/>
      </c>
      <c r="M6" s="86">
        <f>+IFERROR(VLOOKUP($A6,'[11]1'!$A$5:$E$1048576,3,0),0)</f>
        <v/>
      </c>
      <c r="N6" s="86">
        <f>+IFERROR(VLOOKUP($A6,[12]Balance!$A$5:$E$1048576,3,0),0)</f>
        <v/>
      </c>
      <c r="O6" s="86">
        <f>+IFERROR(VLOOKUP($A6,'[13]1 т'!$A$5:$E$1048576,3,0),0)</f>
        <v/>
      </c>
      <c r="P6" s="86">
        <f>+IFERROR(VLOOKUP($A6,[14]Balance!$A$5:$E$1048576,3,0),0)</f>
        <v/>
      </c>
      <c r="Q6" s="86">
        <f>+IFERROR(VLOOKUP($A6,[15]Balance!$A$5:$E$1048576,3,0),0)</f>
        <v/>
      </c>
      <c r="R6" s="86">
        <f>+IFERROR(VLOOKUP($A6,'[16]1'!$A$5:$E$1048576,3,0),0)</f>
        <v/>
      </c>
      <c r="S6" s="86">
        <f>+IFERROR(VLOOKUP($A6,'[17]1'!$A$5:$E$1048576,3,0),0)</f>
        <v/>
      </c>
      <c r="T6" s="86">
        <f>+IFERROR(VLOOKUP($A6,'[18]1'!$A$5:$E$1048576,3,0),0)</f>
        <v/>
      </c>
      <c r="U6" s="86">
        <f>+IFERROR(VLOOKUP($A6,[19]Balans!$A$5:$E$1048576,3,0),0)</f>
        <v/>
      </c>
      <c r="V6" s="86">
        <f>+IFERROR(VLOOKUP($A6,'[20]1'!$A$5:$E$1048576,3,0),0)</f>
        <v/>
      </c>
      <c r="W6" s="86">
        <f>+IFERROR(VLOOKUP($A6,[21]Balance!$A$5:$E$1048576,3,0),0)</f>
        <v/>
      </c>
      <c r="X6" s="86">
        <f>+IFERROR(VLOOKUP($A6,'[22]1'!$A$5:$E$1048576,3,0),0)</f>
        <v/>
      </c>
      <c r="Y6" s="86">
        <f>+IFERROR(VLOOKUP($A6,[23]Лист1!$A$5:$E$1048576,3,0),0)</f>
        <v/>
      </c>
      <c r="Z6" s="86">
        <f>+IFERROR(VLOOKUP($A6,'[24]1'!$A$5:$E$1048576,3,0),0)</f>
        <v/>
      </c>
      <c r="AA6" s="86">
        <f>+IFERROR(VLOOKUP($A6,[25]Balance!$A$5:$E$1048576,3,0),0)</f>
        <v/>
      </c>
      <c r="AB6" s="86">
        <f>+IFERROR(VLOOKUP($A6,'[26]1'!$A$5:$E$1048576,3,0),0)</f>
        <v/>
      </c>
      <c r="AC6" s="86">
        <f>+IFERROR(VLOOKUP($A6,'[27]1'!$A$5:$E$1048576,3,0),0)</f>
        <v/>
      </c>
      <c r="AD6" s="86">
        <f>+IFERROR(VLOOKUP($A6,'[28]1'!$A$5:$E$1048576,3,0),0)</f>
        <v/>
      </c>
      <c r="AE6" s="86">
        <f>+IFERROR(VLOOKUP($A6,[29]Лист1!$A$5:$E$1048576,3,0),0)</f>
        <v/>
      </c>
      <c r="AF6" s="86">
        <f>+IFERROR(VLOOKUP($A6,'[30]1'!$A$5:$E$1048576,3,0),0)</f>
        <v/>
      </c>
      <c r="AG6" s="86">
        <f>+IFERROR(VLOOKUP($A6,'[31]1'!$A$5:$E$1048576,3,0),0)</f>
        <v/>
      </c>
      <c r="AH6" s="86">
        <f>+IFERROR(VLOOKUP($A6,'[32]1-жадвал'!$A$5:$E$1048576,3,0),0)</f>
        <v/>
      </c>
      <c r="AI6" s="248">
        <f>+IFERROR(VLOOKUP($A6,[33]Balance!$A$5:$E$1048576,3,0),0)</f>
        <v/>
      </c>
      <c r="AJ6" s="100">
        <f>+IFERROR(VLOOKUP($A6,[34]Balance!$A$5:$E$1048576,3,0),0)</f>
        <v/>
      </c>
      <c r="AK6" s="100">
        <f>+IFERROR(VLOOKUP($A6,'[35]1'!$A$5:$E$1048576,3,0),0)</f>
        <v/>
      </c>
    </row>
    <row r="7" ht="25.5" customHeight="1">
      <c r="A7" s="183" t="n">
        <v>3</v>
      </c>
      <c r="B7" s="87" t="inlineStr">
        <is>
          <t>Бошқа банклар ва молиявий ташкилотлардан олиниши лозим бўлган маблағлар, соф</t>
        </is>
      </c>
      <c r="C7" s="86">
        <f>+IFERROR(VLOOKUP($A7,[1]Лист1!$A$5:$E$1048576,3,0),0)</f>
        <v/>
      </c>
      <c r="D7" s="86">
        <f>+IFERROR(VLOOKUP($A7,'[2]1'!$A$5:$E$1048576,3,0),0)</f>
        <v/>
      </c>
      <c r="E7" s="86">
        <f>+IFERROR(VLOOKUP($A7,'[3]1'!$A$5:$E$1048576,3,0),0)</f>
        <v/>
      </c>
      <c r="F7" s="86">
        <f>+IFERROR(VLOOKUP($A7,[4]Balance!$A$5:$E$1048576,3,0),0)</f>
        <v/>
      </c>
      <c r="G7" s="86">
        <f>+IFERROR(VLOOKUP($A7,'[5]1'!$A$5:$E$1048576,3,0),0)</f>
        <v/>
      </c>
      <c r="H7" s="86">
        <f>+IFERROR(VLOOKUP($A7,[6]Balance!$A$5:$E$1048576,3,0),0)</f>
        <v/>
      </c>
      <c r="I7" s="86">
        <f>+IFERROR(VLOOKUP($A7,[7]Balance!$A$5:$E$1048576,3,0),0)</f>
        <v/>
      </c>
      <c r="J7" s="86">
        <f>+IFERROR(VLOOKUP($A7,'[8]1'!$A$5:$E$1048576,3,0),0)</f>
        <v/>
      </c>
      <c r="K7" s="86">
        <f>+IFERROR(VLOOKUP($A7,'[9]1'!$A$5:$E$1048576,3,0),0)</f>
        <v/>
      </c>
      <c r="L7" s="86">
        <f>+IFERROR(VLOOKUP($A7,'[10]1'!$A$5:$E$1048576,3,0),0)</f>
        <v/>
      </c>
      <c r="M7" s="86">
        <f>+IFERROR(VLOOKUP($A7,'[11]1'!$A$5:$E$1048576,3,0),0)</f>
        <v/>
      </c>
      <c r="N7" s="86">
        <f>+IFERROR(VLOOKUP($A7,[12]Balance!$A$5:$E$1048576,3,0),0)</f>
        <v/>
      </c>
      <c r="O7" s="86">
        <f>+IFERROR(VLOOKUP($A7,'[13]1 т'!$A$5:$E$1048576,3,0),0)</f>
        <v/>
      </c>
      <c r="P7" s="86">
        <f>+IFERROR(VLOOKUP($A7,[14]Balance!$A$5:$E$1048576,3,0),0)</f>
        <v/>
      </c>
      <c r="Q7" s="86">
        <f>+IFERROR(VLOOKUP($A7,[15]Balance!$A$5:$E$1048576,3,0),0)</f>
        <v/>
      </c>
      <c r="R7" s="86">
        <f>+IFERROR(VLOOKUP($A7,'[16]1'!$A$5:$E$1048576,3,0),0)</f>
        <v/>
      </c>
      <c r="S7" s="86">
        <f>+IFERROR(VLOOKUP($A7,'[17]1'!$A$5:$E$1048576,3,0),0)</f>
        <v/>
      </c>
      <c r="T7" s="86">
        <f>+IFERROR(VLOOKUP($A7,'[18]1'!$A$5:$E$1048576,3,0),0)</f>
        <v/>
      </c>
      <c r="U7" s="86">
        <f>+IFERROR(VLOOKUP($A7,[19]Balans!$A$5:$E$1048576,3,0),0)</f>
        <v/>
      </c>
      <c r="V7" s="86">
        <f>+IFERROR(VLOOKUP($A7,'[20]1'!$A$5:$E$1048576,3,0),0)</f>
        <v/>
      </c>
      <c r="W7" s="86">
        <f>+IFERROR(VLOOKUP($A7,[21]Balance!$A$5:$E$1048576,3,0),0)</f>
        <v/>
      </c>
      <c r="X7" s="86">
        <f>+IFERROR(VLOOKUP($A7,'[22]1'!$A$5:$E$1048576,3,0),0)</f>
        <v/>
      </c>
      <c r="Y7" s="86">
        <f>+IFERROR(VLOOKUP($A7,[23]Лист1!$A$5:$E$1048576,3,0),0)</f>
        <v/>
      </c>
      <c r="Z7" s="86">
        <f>+IFERROR(VLOOKUP($A7,'[24]1'!$A$5:$E$1048576,3,0),0)</f>
        <v/>
      </c>
      <c r="AA7" s="86">
        <f>+IFERROR(VLOOKUP($A7,[25]Balance!$A$5:$E$1048576,3,0),0)</f>
        <v/>
      </c>
      <c r="AB7" s="86">
        <f>+IFERROR(VLOOKUP($A7,'[26]1'!$A$5:$E$1048576,3,0),0)</f>
        <v/>
      </c>
      <c r="AC7" s="86">
        <f>+IFERROR(VLOOKUP($A7,'[27]1'!$A$5:$E$1048576,3,0),0)</f>
        <v/>
      </c>
      <c r="AD7" s="86">
        <f>+IFERROR(VLOOKUP($A7,'[28]1'!$A$5:$E$1048576,3,0),0)</f>
        <v/>
      </c>
      <c r="AE7" s="86">
        <f>+IFERROR(VLOOKUP($A7,[29]Лист1!$A$5:$E$1048576,3,0),0)</f>
        <v/>
      </c>
      <c r="AF7" s="86">
        <f>+IFERROR(VLOOKUP($A7,'[30]1'!$A$5:$E$1048576,3,0),0)</f>
        <v/>
      </c>
      <c r="AG7" s="86">
        <f>+IFERROR(VLOOKUP($A7,'[31]1'!$A$5:$E$1048576,3,0),0)</f>
        <v/>
      </c>
      <c r="AH7" s="86">
        <f>+IFERROR(VLOOKUP($A7,'[32]1-жадвал'!$A$5:$E$1048576,3,0),0)</f>
        <v/>
      </c>
      <c r="AI7" s="248">
        <f>+IFERROR(VLOOKUP($A7,[33]Balance!$A$5:$E$1048576,3,0),0)</f>
        <v/>
      </c>
      <c r="AJ7" s="100">
        <f>+IFERROR(VLOOKUP($A7,[34]Balance!$A$5:$E$1048576,3,0),0)</f>
        <v/>
      </c>
      <c r="AK7" s="100">
        <f>+IFERROR(VLOOKUP($A7,'[35]1'!$A$5:$E$1048576,3,0),0)</f>
        <v/>
      </c>
    </row>
    <row r="8" ht="25.5" customHeight="1">
      <c r="A8" s="183" t="inlineStr">
        <is>
          <t>3.1</t>
        </is>
      </c>
      <c r="B8" s="87" t="inlineStr">
        <is>
          <t>Бошқа банклар ва молиявий ташкилотлардан олиниши лозим бўлган маблағлар, брутто</t>
        </is>
      </c>
      <c r="C8" s="86">
        <f>+IFERROR(VLOOKUP($A8,[1]Лист1!$A$5:$E$1048576,3,0),0)</f>
        <v/>
      </c>
      <c r="D8" s="86">
        <f>+IFERROR(VLOOKUP($A8,'[2]1'!$A$5:$E$1048576,3,0),0)</f>
        <v/>
      </c>
      <c r="E8" s="86">
        <f>+IFERROR(VLOOKUP($A8,'[3]1'!$A$5:$E$1048576,3,0),0)</f>
        <v/>
      </c>
      <c r="F8" s="86">
        <f>+IFERROR(VLOOKUP($A8,[4]Balance!$A$5:$E$1048576,3,0),0)</f>
        <v/>
      </c>
      <c r="G8" s="86">
        <f>+IFERROR(VLOOKUP($A8,'[5]1'!$A$5:$E$1048576,3,0),0)</f>
        <v/>
      </c>
      <c r="H8" s="86">
        <f>+IFERROR(VLOOKUP($A8,[6]Balance!$A$5:$E$1048576,3,0),0)</f>
        <v/>
      </c>
      <c r="I8" s="86">
        <f>+IFERROR(VLOOKUP($A8,[7]Balance!$A$5:$E$1048576,3,0),0)</f>
        <v/>
      </c>
      <c r="J8" s="86">
        <f>+IFERROR(VLOOKUP($A8,'[8]1'!$A$5:$E$1048576,3,0),0)</f>
        <v/>
      </c>
      <c r="K8" s="86">
        <f>+IFERROR(VLOOKUP($A8,'[9]1'!$A$5:$E$1048576,3,0),0)</f>
        <v/>
      </c>
      <c r="L8" s="86">
        <f>+IFERROR(VLOOKUP($A8,'[10]1'!$A$5:$E$1048576,3,0),0)</f>
        <v/>
      </c>
      <c r="M8" s="86">
        <f>+IFERROR(VLOOKUP($A8,'[11]1'!$A$5:$E$1048576,3,0),0)</f>
        <v/>
      </c>
      <c r="N8" s="86">
        <f>+IFERROR(VLOOKUP($A8,[12]Balance!$A$5:$E$1048576,3,0),0)</f>
        <v/>
      </c>
      <c r="O8" s="86">
        <f>+IFERROR(VLOOKUP($A8,'[13]1 т'!$A$5:$E$1048576,3,0),0)</f>
        <v/>
      </c>
      <c r="P8" s="86">
        <f>+IFERROR(VLOOKUP($A8,[14]Balance!$A$5:$E$1048576,3,0),0)</f>
        <v/>
      </c>
      <c r="Q8" s="86">
        <f>+IFERROR(VLOOKUP($A8,[15]Balance!$A$5:$E$1048576,3,0),0)</f>
        <v/>
      </c>
      <c r="R8" s="86">
        <f>+IFERROR(VLOOKUP($A8,'[16]1'!$A$5:$E$1048576,3,0),0)</f>
        <v/>
      </c>
      <c r="S8" s="86">
        <f>+IFERROR(VLOOKUP($A8,'[17]1'!$A$5:$E$1048576,3,0),0)</f>
        <v/>
      </c>
      <c r="T8" s="86">
        <f>+IFERROR(VLOOKUP($A8,'[18]1'!$A$5:$E$1048576,3,0),0)</f>
        <v/>
      </c>
      <c r="U8" s="86">
        <f>+IFERROR(VLOOKUP($A8,[19]Balans!$A$5:$E$1048576,3,0),0)</f>
        <v/>
      </c>
      <c r="V8" s="86">
        <f>+IFERROR(VLOOKUP($A8,'[20]1'!$A$5:$E$1048576,3,0),0)</f>
        <v/>
      </c>
      <c r="W8" s="86">
        <f>+IFERROR(VLOOKUP($A8,[21]Balance!$A$5:$E$1048576,3,0),0)</f>
        <v/>
      </c>
      <c r="X8" s="86">
        <f>+IFERROR(VLOOKUP($A8,'[22]1'!$A$5:$E$1048576,3,0),0)</f>
        <v/>
      </c>
      <c r="Y8" s="86">
        <f>+IFERROR(VLOOKUP($A8,[23]Лист1!$A$5:$E$1048576,3,0),0)</f>
        <v/>
      </c>
      <c r="Z8" s="86">
        <f>+IFERROR(VLOOKUP($A8,'[24]1'!$A$5:$E$1048576,3,0),0)</f>
        <v/>
      </c>
      <c r="AA8" s="86">
        <f>+IFERROR(VLOOKUP($A8,[25]Balance!$A$5:$E$1048576,3,0),0)</f>
        <v/>
      </c>
      <c r="AB8" s="86">
        <f>+IFERROR(VLOOKUP($A8,'[26]1'!$A$5:$E$1048576,3,0),0)</f>
        <v/>
      </c>
      <c r="AC8" s="86">
        <f>+IFERROR(VLOOKUP($A8,'[27]1'!$A$5:$E$1048576,3,0),0)</f>
        <v/>
      </c>
      <c r="AD8" s="86">
        <f>+IFERROR(VLOOKUP($A8,'[28]1'!$A$5:$E$1048576,3,0),0)</f>
        <v/>
      </c>
      <c r="AE8" s="86">
        <f>+IFERROR(VLOOKUP($A8,[29]Лист1!$A$5:$E$1048576,3,0),0)</f>
        <v/>
      </c>
      <c r="AF8" s="86">
        <f>+IFERROR(VLOOKUP($A8,'[30]1'!$A$5:$E$1048576,3,0),0)</f>
        <v/>
      </c>
      <c r="AG8" s="86">
        <f>+IFERROR(VLOOKUP($A8,'[31]1'!$A$5:$E$1048576,3,0),0)</f>
        <v/>
      </c>
      <c r="AH8" s="86">
        <f>+IFERROR(VLOOKUP($A8,'[32]1-жадвал'!$A$5:$E$1048576,3,0),0)</f>
        <v/>
      </c>
      <c r="AI8" s="248">
        <f>+IFERROR(VLOOKUP($A8,[33]Balance!$A$5:$E$1048576,3,0),0)</f>
        <v/>
      </c>
      <c r="AJ8" s="100">
        <f>+IFERROR(VLOOKUP($A8,[34]Balance!$A$5:$E$1048576,3,0),0)</f>
        <v/>
      </c>
      <c r="AK8" s="100">
        <f>+IFERROR(VLOOKUP($A8,'[35]1'!$A$5:$E$1048576,3,0),0)</f>
        <v/>
      </c>
    </row>
    <row r="9" ht="25.5" customHeight="1">
      <c r="A9" s="183" t="inlineStr">
        <is>
          <t>3.2</t>
        </is>
      </c>
      <c r="B9" s="87" t="inlineStr">
        <is>
          <t>Минус: Кўрилиши мумкин бўлган зарарларни қоплаш захираси</t>
        </is>
      </c>
      <c r="C9" s="86">
        <f>+IFERROR(VLOOKUP($A9,[1]Лист1!$A$5:$E$1048576,3,0),0)</f>
        <v/>
      </c>
      <c r="D9" s="86">
        <f>+IFERROR(VLOOKUP($A9,'[2]1'!$A$5:$E$1048576,3,0),0)</f>
        <v/>
      </c>
      <c r="E9" s="86">
        <f>+IFERROR(VLOOKUP($A9,'[3]1'!$A$5:$E$1048576,3,0),0)</f>
        <v/>
      </c>
      <c r="F9" s="86">
        <f>+IFERROR(VLOOKUP($A9,[4]Balance!$A$5:$E$1048576,3,0),0)</f>
        <v/>
      </c>
      <c r="G9" s="86">
        <f>+IFERROR(VLOOKUP($A9,'[5]1'!$A$5:$E$1048576,3,0),0)</f>
        <v/>
      </c>
      <c r="H9" s="86">
        <f>+IFERROR(VLOOKUP($A9,[6]Balance!$A$5:$E$1048576,3,0),0)</f>
        <v/>
      </c>
      <c r="I9" s="86">
        <f>+IFERROR(VLOOKUP($A9,[7]Balance!$A$5:$E$1048576,3,0),0)</f>
        <v/>
      </c>
      <c r="J9" s="86">
        <f>+IFERROR(VLOOKUP($A9,'[8]1'!$A$5:$E$1048576,3,0),0)</f>
        <v/>
      </c>
      <c r="K9" s="86">
        <f>+IFERROR(VLOOKUP($A9,'[9]1'!$A$5:$E$1048576,3,0),0)</f>
        <v/>
      </c>
      <c r="L9" s="86">
        <f>+IFERROR(VLOOKUP($A9,'[10]1'!$A$5:$E$1048576,3,0),0)</f>
        <v/>
      </c>
      <c r="M9" s="86">
        <f>+IFERROR(VLOOKUP($A9,'[11]1'!$A$5:$E$1048576,3,0),0)</f>
        <v/>
      </c>
      <c r="N9" s="86">
        <f>+IFERROR(VLOOKUP($A9,[12]Balance!$A$5:$E$1048576,3,0),0)</f>
        <v/>
      </c>
      <c r="O9" s="86">
        <f>+IFERROR(VLOOKUP($A9,'[13]1 т'!$A$5:$E$1048576,3,0),0)</f>
        <v/>
      </c>
      <c r="P9" s="86">
        <f>+IFERROR(VLOOKUP($A9,[14]Balance!$A$5:$E$1048576,3,0),0)</f>
        <v/>
      </c>
      <c r="Q9" s="86">
        <f>+IFERROR(VLOOKUP($A9,[15]Balance!$A$5:$E$1048576,3,0),0)</f>
        <v/>
      </c>
      <c r="R9" s="86">
        <f>+IFERROR(VLOOKUP($A9,'[16]1'!$A$5:$E$1048576,3,0),0)</f>
        <v/>
      </c>
      <c r="S9" s="86">
        <f>+IFERROR(VLOOKUP($A9,'[17]1'!$A$5:$E$1048576,3,0),0)</f>
        <v/>
      </c>
      <c r="T9" s="86">
        <f>+IFERROR(VLOOKUP($A9,'[18]1'!$A$5:$E$1048576,3,0),0)</f>
        <v/>
      </c>
      <c r="U9" s="86">
        <f>+IFERROR(VLOOKUP($A9,[19]Balans!$A$5:$E$1048576,3,0),0)</f>
        <v/>
      </c>
      <c r="V9" s="86">
        <f>+IFERROR(VLOOKUP($A9,'[20]1'!$A$5:$E$1048576,3,0),0)</f>
        <v/>
      </c>
      <c r="W9" s="86">
        <f>+IFERROR(VLOOKUP($A9,[21]Balance!$A$5:$E$1048576,3,0),0)</f>
        <v/>
      </c>
      <c r="X9" s="86">
        <f>+IFERROR(VLOOKUP($A9,'[22]1'!$A$5:$E$1048576,3,0),0)</f>
        <v/>
      </c>
      <c r="Y9" s="86">
        <f>+IFERROR(VLOOKUP($A9,[23]Лист1!$A$5:$E$1048576,3,0),0)</f>
        <v/>
      </c>
      <c r="Z9" s="86">
        <f>+IFERROR(VLOOKUP($A9,'[24]1'!$A$5:$E$1048576,3,0),0)</f>
        <v/>
      </c>
      <c r="AA9" s="86">
        <f>+IFERROR(VLOOKUP($A9,[25]Balance!$A$5:$E$1048576,3,0),0)</f>
        <v/>
      </c>
      <c r="AB9" s="86">
        <f>+IFERROR(VLOOKUP($A9,'[26]1'!$A$5:$E$1048576,3,0),0)</f>
        <v/>
      </c>
      <c r="AC9" s="86">
        <f>+IFERROR(VLOOKUP($A9,'[27]1'!$A$5:$E$1048576,3,0),0)</f>
        <v/>
      </c>
      <c r="AD9" s="86">
        <f>+IFERROR(VLOOKUP($A9,'[28]1'!$A$5:$E$1048576,3,0),0)</f>
        <v/>
      </c>
      <c r="AE9" s="86">
        <f>+IFERROR(VLOOKUP($A9,[29]Лист1!$A$5:$E$1048576,3,0),0)</f>
        <v/>
      </c>
      <c r="AF9" s="86">
        <f>+IFERROR(VLOOKUP($A9,'[30]1'!$A$5:$E$1048576,3,0),0)</f>
        <v/>
      </c>
      <c r="AG9" s="86">
        <f>+IFERROR(VLOOKUP($A9,'[31]1'!$A$5:$E$1048576,3,0),0)</f>
        <v/>
      </c>
      <c r="AH9" s="86">
        <f>+IFERROR(VLOOKUP($A9,'[32]1-жадвал'!$A$5:$E$1048576,3,0),0)</f>
        <v/>
      </c>
      <c r="AI9" s="248">
        <f>+IFERROR(VLOOKUP($A9,[33]Balance!$A$5:$E$1048576,3,0),0)</f>
        <v/>
      </c>
      <c r="AJ9" s="100">
        <f>+IFERROR(VLOOKUP($A9,[34]Balance!$A$5:$E$1048576,3,0),0)</f>
        <v/>
      </c>
      <c r="AK9" s="100">
        <f>+IFERROR(VLOOKUP($A9,'[35]1'!$A$5:$E$1048576,3,0),0)</f>
        <v/>
      </c>
    </row>
    <row r="10" ht="25.5" customHeight="1">
      <c r="A10" s="183" t="n">
        <v>4</v>
      </c>
      <c r="B10" s="87" t="inlineStr">
        <is>
          <t>Қимматли қоғозлар ва уларга қилинган  инвестициялар, соф</t>
        </is>
      </c>
      <c r="C10" s="86">
        <f>+IFERROR(VLOOKUP($A10,[1]Лист1!$A$5:$E$1048576,3,0),0)</f>
        <v/>
      </c>
      <c r="D10" s="86">
        <f>+IFERROR(VLOOKUP($A10,'[2]1'!$A$5:$E$1048576,3,0),0)</f>
        <v/>
      </c>
      <c r="E10" s="86">
        <f>+IFERROR(VLOOKUP($A10,'[3]1'!$A$5:$E$1048576,3,0),0)</f>
        <v/>
      </c>
      <c r="F10" s="86">
        <f>+IFERROR(VLOOKUP($A10,[4]Balance!$A$5:$E$1048576,3,0),0)</f>
        <v/>
      </c>
      <c r="G10" s="86">
        <f>+IFERROR(VLOOKUP($A10,'[5]1'!$A$5:$E$1048576,3,0),0)</f>
        <v/>
      </c>
      <c r="H10" s="86">
        <f>+IFERROR(VLOOKUP($A10,[6]Balance!$A$5:$E$1048576,3,0),0)</f>
        <v/>
      </c>
      <c r="I10" s="86">
        <f>+IFERROR(VLOOKUP($A10,[7]Balance!$A$5:$E$1048576,3,0),0)</f>
        <v/>
      </c>
      <c r="J10" s="86">
        <f>+IFERROR(VLOOKUP($A10,'[8]1'!$A$5:$E$1048576,3,0),0)</f>
        <v/>
      </c>
      <c r="K10" s="86">
        <f>+IFERROR(VLOOKUP($A10,'[9]1'!$A$5:$E$1048576,3,0),0)</f>
        <v/>
      </c>
      <c r="L10" s="86">
        <f>+IFERROR(VLOOKUP($A10,'[10]1'!$A$5:$E$1048576,3,0),0)</f>
        <v/>
      </c>
      <c r="M10" s="86">
        <f>+IFERROR(VLOOKUP($A10,'[11]1'!$A$5:$E$1048576,3,0),0)</f>
        <v/>
      </c>
      <c r="N10" s="86">
        <f>+IFERROR(VLOOKUP($A10,[12]Balance!$A$5:$E$1048576,3,0),0)</f>
        <v/>
      </c>
      <c r="O10" s="86">
        <f>+IFERROR(VLOOKUP($A10,'[13]1 т'!$A$5:$E$1048576,3,0),0)</f>
        <v/>
      </c>
      <c r="P10" s="86">
        <f>+IFERROR(VLOOKUP($A10,[14]Balance!$A$5:$E$1048576,3,0),0)</f>
        <v/>
      </c>
      <c r="Q10" s="86">
        <f>+IFERROR(VLOOKUP($A10,[15]Balance!$A$5:$E$1048576,3,0),0)</f>
        <v/>
      </c>
      <c r="R10" s="86">
        <f>+IFERROR(VLOOKUP($A10,'[16]1'!$A$5:$E$1048576,3,0),0)</f>
        <v/>
      </c>
      <c r="S10" s="86">
        <f>+IFERROR(VLOOKUP($A10,'[17]1'!$A$5:$E$1048576,3,0),0)</f>
        <v/>
      </c>
      <c r="T10" s="86">
        <f>+IFERROR(VLOOKUP($A10,'[18]1'!$A$5:$E$1048576,3,0),0)</f>
        <v/>
      </c>
      <c r="U10" s="86">
        <f>+IFERROR(VLOOKUP($A10,[19]Balans!$A$5:$E$1048576,3,0),0)</f>
        <v/>
      </c>
      <c r="V10" s="86">
        <f>+IFERROR(VLOOKUP($A10,'[20]1'!$A$5:$E$1048576,3,0),0)</f>
        <v/>
      </c>
      <c r="W10" s="86">
        <f>+IFERROR(VLOOKUP($A10,[21]Balance!$A$5:$E$1048576,3,0),0)</f>
        <v/>
      </c>
      <c r="X10" s="86">
        <f>+IFERROR(VLOOKUP($A10,'[22]1'!$A$5:$E$1048576,3,0),0)</f>
        <v/>
      </c>
      <c r="Y10" s="86">
        <f>+IFERROR(VLOOKUP($A10,[23]Лист1!$A$5:$E$1048576,3,0),0)</f>
        <v/>
      </c>
      <c r="Z10" s="86">
        <f>+IFERROR(VLOOKUP($A10,'[24]1'!$A$5:$E$1048576,3,0),0)</f>
        <v/>
      </c>
      <c r="AA10" s="86">
        <f>+IFERROR(VLOOKUP($A10,[25]Balance!$A$5:$E$1048576,3,0),0)</f>
        <v/>
      </c>
      <c r="AB10" s="86">
        <f>+IFERROR(VLOOKUP($A10,'[26]1'!$A$5:$E$1048576,3,0),0)</f>
        <v/>
      </c>
      <c r="AC10" s="86">
        <f>+IFERROR(VLOOKUP($A10,'[27]1'!$A$5:$E$1048576,3,0),0)</f>
        <v/>
      </c>
      <c r="AD10" s="86">
        <f>+IFERROR(VLOOKUP($A10,'[28]1'!$A$5:$E$1048576,3,0),0)</f>
        <v/>
      </c>
      <c r="AE10" s="86">
        <f>+IFERROR(VLOOKUP($A10,[29]Лист1!$A$5:$E$1048576,3,0),0)</f>
        <v/>
      </c>
      <c r="AF10" s="86">
        <f>+IFERROR(VLOOKUP($A10,'[30]1'!$A$5:$E$1048576,3,0),0)</f>
        <v/>
      </c>
      <c r="AG10" s="86">
        <f>+IFERROR(VLOOKUP($A10,'[31]1'!$A$5:$E$1048576,3,0),0)</f>
        <v/>
      </c>
      <c r="AH10" s="86">
        <f>+IFERROR(VLOOKUP($A10,'[32]1-жадвал'!$A$5:$E$1048576,3,0),0)</f>
        <v/>
      </c>
      <c r="AI10" s="248">
        <f>+IFERROR(VLOOKUP($A10,[33]Balance!$A$5:$E$1048576,3,0),0)</f>
        <v/>
      </c>
      <c r="AJ10" s="100">
        <f>+IFERROR(VLOOKUP($A10,[34]Balance!$A$5:$E$1048576,3,0),0)</f>
        <v/>
      </c>
      <c r="AK10" s="100">
        <f>+IFERROR(VLOOKUP($A10,'[35]1'!$A$5:$E$1048576,3,0),0)</f>
        <v/>
      </c>
    </row>
    <row r="11" ht="25.5" customHeight="1">
      <c r="A11" s="183" t="inlineStr">
        <is>
          <t>4.1</t>
        </is>
      </c>
      <c r="B11" s="87" t="inlineStr">
        <is>
          <t>Қимматли қоғозлар ва уларга қилинган  инвестициялар, брутто</t>
        </is>
      </c>
      <c r="C11" s="86">
        <f>+IFERROR(VLOOKUP($A11,[1]Лист1!$A$5:$E$1048576,3,0),0)</f>
        <v/>
      </c>
      <c r="D11" s="86">
        <f>+IFERROR(VLOOKUP($A11,'[2]1'!$A$5:$E$1048576,3,0),0)</f>
        <v/>
      </c>
      <c r="E11" s="86">
        <f>+IFERROR(VLOOKUP($A11,'[3]1'!$A$5:$E$1048576,3,0),0)</f>
        <v/>
      </c>
      <c r="F11" s="86">
        <f>+IFERROR(VLOOKUP($A11,[4]Balance!$A$5:$E$1048576,3,0),0)</f>
        <v/>
      </c>
      <c r="G11" s="86">
        <f>+IFERROR(VLOOKUP($A11,'[5]1'!$A$5:$E$1048576,3,0),0)</f>
        <v/>
      </c>
      <c r="H11" s="86">
        <f>+IFERROR(VLOOKUP($A11,[6]Balance!$A$5:$E$1048576,3,0),0)</f>
        <v/>
      </c>
      <c r="I11" s="86">
        <f>+IFERROR(VLOOKUP($A11,[7]Balance!$A$5:$E$1048576,3,0),0)</f>
        <v/>
      </c>
      <c r="J11" s="86">
        <f>+IFERROR(VLOOKUP($A11,'[8]1'!$A$5:$E$1048576,3,0),0)</f>
        <v/>
      </c>
      <c r="K11" s="86">
        <f>+IFERROR(VLOOKUP($A11,'[9]1'!$A$5:$E$1048576,3,0),0)</f>
        <v/>
      </c>
      <c r="L11" s="86">
        <f>+IFERROR(VLOOKUP($A11,'[10]1'!$A$5:$E$1048576,3,0),0)</f>
        <v/>
      </c>
      <c r="M11" s="86">
        <f>+IFERROR(VLOOKUP($A11,'[11]1'!$A$5:$E$1048576,3,0),0)</f>
        <v/>
      </c>
      <c r="N11" s="86">
        <f>+IFERROR(VLOOKUP($A11,[12]Balance!$A$5:$E$1048576,3,0),0)</f>
        <v/>
      </c>
      <c r="O11" s="86">
        <f>+IFERROR(VLOOKUP($A11,'[13]1 т'!$A$5:$E$1048576,3,0),0)</f>
        <v/>
      </c>
      <c r="P11" s="86">
        <f>+IFERROR(VLOOKUP($A11,[14]Balance!$A$5:$E$1048576,3,0),0)</f>
        <v/>
      </c>
      <c r="Q11" s="86">
        <f>+IFERROR(VLOOKUP($A11,[15]Balance!$A$5:$E$1048576,3,0),0)</f>
        <v/>
      </c>
      <c r="R11" s="86">
        <f>+IFERROR(VLOOKUP($A11,'[16]1'!$A$5:$E$1048576,3,0),0)</f>
        <v/>
      </c>
      <c r="S11" s="86">
        <f>+IFERROR(VLOOKUP($A11,'[17]1'!$A$5:$E$1048576,3,0),0)</f>
        <v/>
      </c>
      <c r="T11" s="86">
        <f>+IFERROR(VLOOKUP($A11,'[18]1'!$A$5:$E$1048576,3,0),0)</f>
        <v/>
      </c>
      <c r="U11" s="86">
        <f>+IFERROR(VLOOKUP($A11,[19]Balans!$A$5:$E$1048576,3,0),0)</f>
        <v/>
      </c>
      <c r="V11" s="86">
        <f>+IFERROR(VLOOKUP($A11,'[20]1'!$A$5:$E$1048576,3,0),0)</f>
        <v/>
      </c>
      <c r="W11" s="86">
        <f>+IFERROR(VLOOKUP($A11,[21]Balance!$A$5:$E$1048576,3,0),0)</f>
        <v/>
      </c>
      <c r="X11" s="86">
        <f>+IFERROR(VLOOKUP($A11,'[22]1'!$A$5:$E$1048576,3,0),0)</f>
        <v/>
      </c>
      <c r="Y11" s="86">
        <f>+IFERROR(VLOOKUP($A11,[23]Лист1!$A$5:$E$1048576,3,0),0)</f>
        <v/>
      </c>
      <c r="Z11" s="86">
        <f>+IFERROR(VLOOKUP($A11,'[24]1'!$A$5:$E$1048576,3,0),0)</f>
        <v/>
      </c>
      <c r="AA11" s="86">
        <f>+IFERROR(VLOOKUP($A11,[25]Balance!$A$5:$E$1048576,3,0),0)</f>
        <v/>
      </c>
      <c r="AB11" s="86">
        <f>+IFERROR(VLOOKUP($A11,'[26]1'!$A$5:$E$1048576,3,0),0)</f>
        <v/>
      </c>
      <c r="AC11" s="86">
        <f>+IFERROR(VLOOKUP($A11,'[27]1'!$A$5:$E$1048576,3,0),0)</f>
        <v/>
      </c>
      <c r="AD11" s="86">
        <f>+IFERROR(VLOOKUP($A11,'[28]1'!$A$5:$E$1048576,3,0),0)</f>
        <v/>
      </c>
      <c r="AE11" s="86">
        <f>+IFERROR(VLOOKUP($A11,[29]Лист1!$A$5:$E$1048576,3,0),0)</f>
        <v/>
      </c>
      <c r="AF11" s="86">
        <f>+IFERROR(VLOOKUP($A11,'[30]1'!$A$5:$E$1048576,3,0),0)</f>
        <v/>
      </c>
      <c r="AG11" s="86">
        <f>+IFERROR(VLOOKUP($A11,'[31]1'!$A$5:$E$1048576,3,0),0)</f>
        <v/>
      </c>
      <c r="AH11" s="86">
        <f>+IFERROR(VLOOKUP($A11,'[32]1-жадвал'!$A$5:$E$1048576,3,0),0)</f>
        <v/>
      </c>
      <c r="AI11" s="248">
        <f>+IFERROR(VLOOKUP($A11,[33]Balance!$A$5:$E$1048576,3,0),0)</f>
        <v/>
      </c>
      <c r="AJ11" s="100">
        <f>+IFERROR(VLOOKUP($A11,[34]Balance!$A$5:$E$1048576,3,0),0)</f>
        <v/>
      </c>
      <c r="AK11" s="100">
        <f>+IFERROR(VLOOKUP($A11,'[35]1'!$A$5:$E$1048576,3,0),0)</f>
        <v/>
      </c>
    </row>
    <row r="12" ht="25.5" customHeight="1">
      <c r="A12" s="183" t="inlineStr">
        <is>
          <t>4.2</t>
        </is>
      </c>
      <c r="B12" s="87" t="inlineStr">
        <is>
          <t>Қимматли қоғозлар бўйича харажатлар, дисконт, мукофот ва уларнинг ҳаққоний қийматининг ўзгариши</t>
        </is>
      </c>
      <c r="C12" s="86">
        <f>+IFERROR(VLOOKUP($A12,[1]Лист1!$A$5:$E$1048576,3,0),0)</f>
        <v/>
      </c>
      <c r="D12" s="86">
        <f>+IFERROR(VLOOKUP($A12,'[2]1'!$A$5:$E$1048576,3,0),0)</f>
        <v/>
      </c>
      <c r="E12" s="86">
        <f>+IFERROR(VLOOKUP($A12,'[3]1'!$A$5:$E$1048576,3,0),0)</f>
        <v/>
      </c>
      <c r="F12" s="86">
        <f>+IFERROR(VLOOKUP($A12,[4]Balance!$A$5:$E$1048576,3,0),0)</f>
        <v/>
      </c>
      <c r="G12" s="86">
        <f>+IFERROR(VLOOKUP($A12,'[5]1'!$A$5:$E$1048576,3,0),0)</f>
        <v/>
      </c>
      <c r="H12" s="86">
        <f>+IFERROR(VLOOKUP($A12,[6]Balance!$A$5:$E$1048576,3,0),0)</f>
        <v/>
      </c>
      <c r="I12" s="86">
        <f>+IFERROR(VLOOKUP($A12,[7]Balance!$A$5:$E$1048576,3,0),0)</f>
        <v/>
      </c>
      <c r="J12" s="86">
        <f>+IFERROR(VLOOKUP($A12,'[8]1'!$A$5:$E$1048576,3,0),0)</f>
        <v/>
      </c>
      <c r="K12" s="86">
        <f>+IFERROR(VLOOKUP($A12,'[9]1'!$A$5:$E$1048576,3,0),0)</f>
        <v/>
      </c>
      <c r="L12" s="86">
        <f>+IFERROR(VLOOKUP($A12,'[10]1'!$A$5:$E$1048576,3,0),0)</f>
        <v/>
      </c>
      <c r="M12" s="86">
        <f>+IFERROR(VLOOKUP($A12,'[11]1'!$A$5:$E$1048576,3,0),0)</f>
        <v/>
      </c>
      <c r="N12" s="86">
        <f>+IFERROR(VLOOKUP($A12,[12]Balance!$A$5:$E$1048576,3,0),0)</f>
        <v/>
      </c>
      <c r="O12" s="86">
        <f>+IFERROR(VLOOKUP($A12,'[13]1 т'!$A$5:$E$1048576,3,0),0)</f>
        <v/>
      </c>
      <c r="P12" s="86">
        <f>+IFERROR(VLOOKUP($A12,[14]Balance!$A$5:$E$1048576,3,0),0)</f>
        <v/>
      </c>
      <c r="Q12" s="86">
        <f>+IFERROR(VLOOKUP($A12,[15]Balance!$A$5:$E$1048576,3,0),0)</f>
        <v/>
      </c>
      <c r="R12" s="86">
        <f>+IFERROR(VLOOKUP($A12,'[16]1'!$A$5:$E$1048576,3,0),0)</f>
        <v/>
      </c>
      <c r="S12" s="86">
        <f>+IFERROR(VLOOKUP($A12,'[17]1'!$A$5:$E$1048576,3,0),0)</f>
        <v/>
      </c>
      <c r="T12" s="86">
        <f>+IFERROR(VLOOKUP($A12,'[18]1'!$A$5:$E$1048576,3,0),0)</f>
        <v/>
      </c>
      <c r="U12" s="86">
        <f>+IFERROR(VLOOKUP($A12,[19]Balans!$A$5:$E$1048576,3,0),0)</f>
        <v/>
      </c>
      <c r="V12" s="86">
        <f>+IFERROR(VLOOKUP($A12,'[20]1'!$A$5:$E$1048576,3,0),0)</f>
        <v/>
      </c>
      <c r="W12" s="86">
        <f>+IFERROR(VLOOKUP($A12,[21]Balance!$A$5:$E$1048576,3,0),0)</f>
        <v/>
      </c>
      <c r="X12" s="86">
        <f>+IFERROR(VLOOKUP($A12,'[22]1'!$A$5:$E$1048576,3,0),0)</f>
        <v/>
      </c>
      <c r="Y12" s="86">
        <f>+IFERROR(VLOOKUP($A12,[23]Лист1!$A$5:$E$1048576,3,0),0)</f>
        <v/>
      </c>
      <c r="Z12" s="86">
        <f>+IFERROR(VLOOKUP($A12,'[24]1'!$A$5:$E$1048576,3,0),0)</f>
        <v/>
      </c>
      <c r="AA12" s="86">
        <f>+IFERROR(VLOOKUP($A12,[25]Balance!$A$5:$E$1048576,3,0),0)</f>
        <v/>
      </c>
      <c r="AB12" s="86">
        <f>+IFERROR(VLOOKUP($A12,'[26]1'!$A$5:$E$1048576,3,0),0)</f>
        <v/>
      </c>
      <c r="AC12" s="86">
        <f>+IFERROR(VLOOKUP($A12,'[27]1'!$A$5:$E$1048576,3,0),0)</f>
        <v/>
      </c>
      <c r="AD12" s="86">
        <f>+IFERROR(VLOOKUP($A12,'[28]1'!$A$5:$E$1048576,3,0),0)</f>
        <v/>
      </c>
      <c r="AE12" s="86">
        <f>+IFERROR(VLOOKUP($A12,[29]Лист1!$A$5:$E$1048576,3,0),0)</f>
        <v/>
      </c>
      <c r="AF12" s="86">
        <f>+IFERROR(VLOOKUP($A12,'[30]1'!$A$5:$E$1048576,3,0),0)</f>
        <v/>
      </c>
      <c r="AG12" s="86">
        <f>+IFERROR(VLOOKUP($A12,'[31]1'!$A$5:$E$1048576,3,0),0)</f>
        <v/>
      </c>
      <c r="AH12" s="86">
        <f>+IFERROR(VLOOKUP($A12,'[32]1-жадвал'!$A$5:$E$1048576,3,0),0)</f>
        <v/>
      </c>
      <c r="AI12" s="248">
        <f>+IFERROR(VLOOKUP($A12,[33]Balance!$A$5:$E$1048576,3,0),0)</f>
        <v/>
      </c>
      <c r="AJ12" s="100">
        <f>+IFERROR(VLOOKUP($A12,[34]Balance!$A$5:$E$1048576,3,0),0)</f>
        <v/>
      </c>
      <c r="AK12" s="100">
        <f>+IFERROR(VLOOKUP($A12,'[35]1'!$A$5:$E$1048576,3,0),0)</f>
        <v/>
      </c>
    </row>
    <row r="13" ht="25.5" customHeight="1">
      <c r="A13" s="183" t="inlineStr">
        <is>
          <t>4.3</t>
        </is>
      </c>
      <c r="B13" s="87" t="inlineStr">
        <is>
          <t xml:space="preserve">Минус: Кўрилиши мумкин бўлган зарарларни қоплаш захираси </t>
        </is>
      </c>
      <c r="C13" s="86">
        <f>+IFERROR(VLOOKUP($A13,[1]Лист1!$A$5:$E$1048576,3,0),0)</f>
        <v/>
      </c>
      <c r="D13" s="86">
        <f>+IFERROR(VLOOKUP($A13,'[2]1'!$A$5:$E$1048576,3,0),0)</f>
        <v/>
      </c>
      <c r="E13" s="86">
        <f>+IFERROR(VLOOKUP($A13,'[3]1'!$A$5:$E$1048576,3,0),0)</f>
        <v/>
      </c>
      <c r="F13" s="86">
        <f>+IFERROR(VLOOKUP($A13,[4]Balance!$A$5:$E$1048576,3,0),0)</f>
        <v/>
      </c>
      <c r="G13" s="86">
        <f>+IFERROR(VLOOKUP($A13,'[5]1'!$A$5:$E$1048576,3,0),0)</f>
        <v/>
      </c>
      <c r="H13" s="86">
        <f>+IFERROR(VLOOKUP($A13,[6]Balance!$A$5:$E$1048576,3,0),0)</f>
        <v/>
      </c>
      <c r="I13" s="86">
        <f>+IFERROR(VLOOKUP($A13,[7]Balance!$A$5:$E$1048576,3,0),0)</f>
        <v/>
      </c>
      <c r="J13" s="86">
        <f>+IFERROR(VLOOKUP($A13,'[8]1'!$A$5:$E$1048576,3,0),0)</f>
        <v/>
      </c>
      <c r="K13" s="86">
        <f>+IFERROR(VLOOKUP($A13,'[9]1'!$A$5:$E$1048576,3,0),0)</f>
        <v/>
      </c>
      <c r="L13" s="86">
        <f>+IFERROR(VLOOKUP($A13,'[10]1'!$A$5:$E$1048576,3,0),0)</f>
        <v/>
      </c>
      <c r="M13" s="86">
        <f>+IFERROR(VLOOKUP($A13,'[11]1'!$A$5:$E$1048576,3,0),0)</f>
        <v/>
      </c>
      <c r="N13" s="86">
        <f>+IFERROR(VLOOKUP($A13,[12]Balance!$A$5:$E$1048576,3,0),0)</f>
        <v/>
      </c>
      <c r="O13" s="86">
        <f>+IFERROR(VLOOKUP($A13,'[13]1 т'!$A$5:$E$1048576,3,0),0)</f>
        <v/>
      </c>
      <c r="P13" s="86">
        <f>+IFERROR(VLOOKUP($A13,[14]Balance!$A$5:$E$1048576,3,0),0)</f>
        <v/>
      </c>
      <c r="Q13" s="86">
        <f>+IFERROR(VLOOKUP($A13,[15]Balance!$A$5:$E$1048576,3,0),0)</f>
        <v/>
      </c>
      <c r="R13" s="86">
        <f>+IFERROR(VLOOKUP($A13,'[16]1'!$A$5:$E$1048576,3,0),0)</f>
        <v/>
      </c>
      <c r="S13" s="86">
        <f>+IFERROR(VLOOKUP($A13,'[17]1'!$A$5:$E$1048576,3,0),0)</f>
        <v/>
      </c>
      <c r="T13" s="86">
        <f>+IFERROR(VLOOKUP($A13,'[18]1'!$A$5:$E$1048576,3,0),0)</f>
        <v/>
      </c>
      <c r="U13" s="86">
        <f>+IFERROR(VLOOKUP($A13,[19]Balans!$A$5:$E$1048576,3,0),0)</f>
        <v/>
      </c>
      <c r="V13" s="86">
        <f>+IFERROR(VLOOKUP($A13,'[20]1'!$A$5:$E$1048576,3,0),0)</f>
        <v/>
      </c>
      <c r="W13" s="86">
        <f>+IFERROR(VLOOKUP($A13,[21]Balance!$A$5:$E$1048576,3,0),0)</f>
        <v/>
      </c>
      <c r="X13" s="86">
        <f>+IFERROR(VLOOKUP($A13,'[22]1'!$A$5:$E$1048576,3,0),0)</f>
        <v/>
      </c>
      <c r="Y13" s="86">
        <f>+IFERROR(VLOOKUP($A13,[23]Лист1!$A$5:$E$1048576,3,0),0)</f>
        <v/>
      </c>
      <c r="Z13" s="86">
        <f>+IFERROR(VLOOKUP($A13,'[24]1'!$A$5:$E$1048576,3,0),0)</f>
        <v/>
      </c>
      <c r="AA13" s="86">
        <f>+IFERROR(VLOOKUP($A13,[25]Balance!$A$5:$E$1048576,3,0),0)</f>
        <v/>
      </c>
      <c r="AB13" s="86">
        <f>+IFERROR(VLOOKUP($A13,'[26]1'!$A$5:$E$1048576,3,0),0)</f>
        <v/>
      </c>
      <c r="AC13" s="86">
        <f>+IFERROR(VLOOKUP($A13,'[27]1'!$A$5:$E$1048576,3,0),0)</f>
        <v/>
      </c>
      <c r="AD13" s="86">
        <f>+IFERROR(VLOOKUP($A13,'[28]1'!$A$5:$E$1048576,3,0),0)</f>
        <v/>
      </c>
      <c r="AE13" s="86">
        <f>+IFERROR(VLOOKUP($A13,[29]Лист1!$A$5:$E$1048576,3,0),0)</f>
        <v/>
      </c>
      <c r="AF13" s="86">
        <f>+IFERROR(VLOOKUP($A13,'[30]1'!$A$5:$E$1048576,3,0),0)</f>
        <v/>
      </c>
      <c r="AG13" s="86">
        <f>+IFERROR(VLOOKUP($A13,'[31]1'!$A$5:$E$1048576,3,0),0)</f>
        <v/>
      </c>
      <c r="AH13" s="86">
        <f>+IFERROR(VLOOKUP($A13,'[32]1-жадвал'!$A$5:$E$1048576,3,0),0)</f>
        <v/>
      </c>
      <c r="AI13" s="248">
        <f>+IFERROR(VLOOKUP($A13,[33]Balance!$A$5:$E$1048576,3,0),0)</f>
        <v/>
      </c>
      <c r="AJ13" s="100">
        <f>+IFERROR(VLOOKUP($A13,[34]Balance!$A$5:$E$1048576,3,0),0)</f>
        <v/>
      </c>
      <c r="AK13" s="100">
        <f>+IFERROR(VLOOKUP($A13,'[35]1'!$A$5:$E$1048576,3,0),0)</f>
        <v/>
      </c>
    </row>
    <row r="14">
      <c r="A14" s="183" t="n">
        <v>5</v>
      </c>
      <c r="B14" s="87" t="inlineStr">
        <is>
          <t>Қимматбаҳо металлар, тошлар ва тангалар, соф</t>
        </is>
      </c>
      <c r="C14" s="86">
        <f>+IFERROR(VLOOKUP($A14,[1]Лист1!$A$5:$E$1048576,3,0),0)</f>
        <v/>
      </c>
      <c r="D14" s="86">
        <f>+IFERROR(VLOOKUP($A14,'[2]1'!$A$5:$E$1048576,3,0),0)</f>
        <v/>
      </c>
      <c r="E14" s="86">
        <f>+IFERROR(VLOOKUP($A14,'[3]1'!$A$5:$E$1048576,3,0),0)</f>
        <v/>
      </c>
      <c r="F14" s="86">
        <f>+IFERROR(VLOOKUP($A14,[4]Balance!$A$5:$E$1048576,3,0),0)</f>
        <v/>
      </c>
      <c r="G14" s="86">
        <f>+IFERROR(VLOOKUP($A14,'[5]1'!$A$5:$E$1048576,3,0),0)</f>
        <v/>
      </c>
      <c r="H14" s="86">
        <f>+IFERROR(VLOOKUP($A14,[6]Balance!$A$5:$E$1048576,3,0),0)</f>
        <v/>
      </c>
      <c r="I14" s="86">
        <f>+IFERROR(VLOOKUP($A14,[7]Balance!$A$5:$E$1048576,3,0),0)</f>
        <v/>
      </c>
      <c r="J14" s="86">
        <f>+IFERROR(VLOOKUP($A14,'[8]1'!$A$5:$E$1048576,3,0),0)</f>
        <v/>
      </c>
      <c r="K14" s="86">
        <f>+IFERROR(VLOOKUP($A14,'[9]1'!$A$5:$E$1048576,3,0),0)</f>
        <v/>
      </c>
      <c r="L14" s="86">
        <f>+IFERROR(VLOOKUP($A14,'[10]1'!$A$5:$E$1048576,3,0),0)</f>
        <v/>
      </c>
      <c r="M14" s="86">
        <f>+IFERROR(VLOOKUP($A14,'[11]1'!$A$5:$E$1048576,3,0),0)</f>
        <v/>
      </c>
      <c r="N14" s="86">
        <f>+IFERROR(VLOOKUP($A14,[12]Balance!$A$5:$E$1048576,3,0),0)</f>
        <v/>
      </c>
      <c r="O14" s="86">
        <f>+IFERROR(VLOOKUP($A14,'[13]1 т'!$A$5:$E$1048576,3,0),0)</f>
        <v/>
      </c>
      <c r="P14" s="86">
        <f>+IFERROR(VLOOKUP($A14,[14]Balance!$A$5:$E$1048576,3,0),0)</f>
        <v/>
      </c>
      <c r="Q14" s="86">
        <f>+IFERROR(VLOOKUP($A14,[15]Balance!$A$5:$E$1048576,3,0),0)</f>
        <v/>
      </c>
      <c r="R14" s="86">
        <f>+IFERROR(VLOOKUP($A14,'[16]1'!$A$5:$E$1048576,3,0),0)</f>
        <v/>
      </c>
      <c r="S14" s="86">
        <f>+IFERROR(VLOOKUP($A14,'[17]1'!$A$5:$E$1048576,3,0),0)</f>
        <v/>
      </c>
      <c r="T14" s="86">
        <f>+IFERROR(VLOOKUP($A14,'[18]1'!$A$5:$E$1048576,3,0),0)</f>
        <v/>
      </c>
      <c r="U14" s="86">
        <f>+IFERROR(VLOOKUP($A14,[19]Balans!$A$5:$E$1048576,3,0),0)</f>
        <v/>
      </c>
      <c r="V14" s="86">
        <f>+IFERROR(VLOOKUP($A14,'[20]1'!$A$5:$E$1048576,3,0),0)</f>
        <v/>
      </c>
      <c r="W14" s="86">
        <f>+IFERROR(VLOOKUP($A14,[21]Balance!$A$5:$E$1048576,3,0),0)</f>
        <v/>
      </c>
      <c r="X14" s="86">
        <f>+IFERROR(VLOOKUP($A14,'[22]1'!$A$5:$E$1048576,3,0),0)</f>
        <v/>
      </c>
      <c r="Y14" s="86">
        <f>+IFERROR(VLOOKUP($A14,[23]Лист1!$A$5:$E$1048576,3,0),0)</f>
        <v/>
      </c>
      <c r="Z14" s="86">
        <f>+IFERROR(VLOOKUP($A14,'[24]1'!$A$5:$E$1048576,3,0),0)</f>
        <v/>
      </c>
      <c r="AA14" s="86">
        <f>+IFERROR(VLOOKUP($A14,[25]Balance!$A$5:$E$1048576,3,0),0)</f>
        <v/>
      </c>
      <c r="AB14" s="86">
        <f>+IFERROR(VLOOKUP($A14,'[26]1'!$A$5:$E$1048576,3,0),0)</f>
        <v/>
      </c>
      <c r="AC14" s="86">
        <f>+IFERROR(VLOOKUP($A14,'[27]1'!$A$5:$E$1048576,3,0),0)</f>
        <v/>
      </c>
      <c r="AD14" s="86">
        <f>+IFERROR(VLOOKUP($A14,'[28]1'!$A$5:$E$1048576,3,0),0)</f>
        <v/>
      </c>
      <c r="AE14" s="86">
        <f>+IFERROR(VLOOKUP($A14,[29]Лист1!$A$5:$E$1048576,3,0),0)</f>
        <v/>
      </c>
      <c r="AF14" s="86">
        <f>+IFERROR(VLOOKUP($A14,'[30]1'!$A$5:$E$1048576,3,0),0)</f>
        <v/>
      </c>
      <c r="AG14" s="86">
        <f>+IFERROR(VLOOKUP($A14,'[31]1'!$A$5:$E$1048576,3,0),0)</f>
        <v/>
      </c>
      <c r="AH14" s="86">
        <f>+IFERROR(VLOOKUP($A14,'[32]1-жадвал'!$A$5:$E$1048576,3,0),0)</f>
        <v/>
      </c>
      <c r="AI14" s="248">
        <f>+IFERROR(VLOOKUP($A14,[33]Balance!$A$5:$E$1048576,3,0),0)</f>
        <v/>
      </c>
      <c r="AJ14" s="100">
        <f>+IFERROR(VLOOKUP($A14,[34]Balance!$A$5:$E$1048576,3,0),0)</f>
        <v/>
      </c>
      <c r="AK14" s="100">
        <f>+IFERROR(VLOOKUP($A14,'[35]1'!$A$5:$E$1048576,3,0),0)</f>
        <v/>
      </c>
    </row>
    <row r="15">
      <c r="A15" s="183" t="inlineStr">
        <is>
          <t>5.1</t>
        </is>
      </c>
      <c r="B15" s="87" t="inlineStr">
        <is>
          <t xml:space="preserve">Қимматбаҳо металлар, тошлар ва тангалар, брутто </t>
        </is>
      </c>
      <c r="C15" s="86">
        <f>+IFERROR(VLOOKUP($A15,[1]Лист1!$A$5:$E$1048576,3,0),0)</f>
        <v/>
      </c>
      <c r="D15" s="86">
        <f>+IFERROR(VLOOKUP($A15,'[2]1'!$A$5:$E$1048576,3,0),0)</f>
        <v/>
      </c>
      <c r="E15" s="86">
        <f>+IFERROR(VLOOKUP($A15,'[3]1'!$A$5:$E$1048576,3,0),0)</f>
        <v/>
      </c>
      <c r="F15" s="86">
        <f>+IFERROR(VLOOKUP($A15,[4]Balance!$A$5:$E$1048576,3,0),0)</f>
        <v/>
      </c>
      <c r="G15" s="86">
        <f>+IFERROR(VLOOKUP($A15,'[5]1'!$A$5:$E$1048576,3,0),0)</f>
        <v/>
      </c>
      <c r="H15" s="86">
        <f>+IFERROR(VLOOKUP($A15,[6]Balance!$A$5:$E$1048576,3,0),0)</f>
        <v/>
      </c>
      <c r="I15" s="86">
        <f>+IFERROR(VLOOKUP($A15,[7]Balance!$A$5:$E$1048576,3,0),0)</f>
        <v/>
      </c>
      <c r="J15" s="86">
        <f>+IFERROR(VLOOKUP($A15,'[8]1'!$A$5:$E$1048576,3,0),0)</f>
        <v/>
      </c>
      <c r="K15" s="86">
        <f>+IFERROR(VLOOKUP($A15,'[9]1'!$A$5:$E$1048576,3,0),0)</f>
        <v/>
      </c>
      <c r="L15" s="86">
        <f>+IFERROR(VLOOKUP($A15,'[10]1'!$A$5:$E$1048576,3,0),0)</f>
        <v/>
      </c>
      <c r="M15" s="86">
        <f>+IFERROR(VLOOKUP($A15,'[11]1'!$A$5:$E$1048576,3,0),0)</f>
        <v/>
      </c>
      <c r="N15" s="86">
        <f>+IFERROR(VLOOKUP($A15,[12]Balance!$A$5:$E$1048576,3,0),0)</f>
        <v/>
      </c>
      <c r="O15" s="86">
        <f>+IFERROR(VLOOKUP($A15,'[13]1 т'!$A$5:$E$1048576,3,0),0)</f>
        <v/>
      </c>
      <c r="P15" s="86">
        <f>+IFERROR(VLOOKUP($A15,[14]Balance!$A$5:$E$1048576,3,0),0)</f>
        <v/>
      </c>
      <c r="Q15" s="86">
        <f>+IFERROR(VLOOKUP($A15,[15]Balance!$A$5:$E$1048576,3,0),0)</f>
        <v/>
      </c>
      <c r="R15" s="86">
        <f>+IFERROR(VLOOKUP($A15,'[16]1'!$A$5:$E$1048576,3,0),0)</f>
        <v/>
      </c>
      <c r="S15" s="86">
        <f>+IFERROR(VLOOKUP($A15,'[17]1'!$A$5:$E$1048576,3,0),0)</f>
        <v/>
      </c>
      <c r="T15" s="86">
        <f>+IFERROR(VLOOKUP($A15,'[18]1'!$A$5:$E$1048576,3,0),0)</f>
        <v/>
      </c>
      <c r="U15" s="86">
        <f>+IFERROR(VLOOKUP($A15,[19]Balans!$A$5:$E$1048576,3,0),0)</f>
        <v/>
      </c>
      <c r="V15" s="86">
        <f>+IFERROR(VLOOKUP($A15,'[20]1'!$A$5:$E$1048576,3,0),0)</f>
        <v/>
      </c>
      <c r="W15" s="86">
        <f>+IFERROR(VLOOKUP($A15,[21]Balance!$A$5:$E$1048576,3,0),0)</f>
        <v/>
      </c>
      <c r="X15" s="86">
        <f>+IFERROR(VLOOKUP($A15,'[22]1'!$A$5:$E$1048576,3,0),0)</f>
        <v/>
      </c>
      <c r="Y15" s="86">
        <f>+IFERROR(VLOOKUP($A15,[23]Лист1!$A$5:$E$1048576,3,0),0)</f>
        <v/>
      </c>
      <c r="Z15" s="86">
        <f>+IFERROR(VLOOKUP($A15,'[24]1'!$A$5:$E$1048576,3,0),0)</f>
        <v/>
      </c>
      <c r="AA15" s="86">
        <f>+IFERROR(VLOOKUP($A15,[25]Balance!$A$5:$E$1048576,3,0),0)</f>
        <v/>
      </c>
      <c r="AB15" s="86">
        <f>+IFERROR(VLOOKUP($A15,'[26]1'!$A$5:$E$1048576,3,0),0)</f>
        <v/>
      </c>
      <c r="AC15" s="86">
        <f>+IFERROR(VLOOKUP($A15,'[27]1'!$A$5:$E$1048576,3,0),0)</f>
        <v/>
      </c>
      <c r="AD15" s="86">
        <f>+IFERROR(VLOOKUP($A15,'[28]1'!$A$5:$E$1048576,3,0),0)</f>
        <v/>
      </c>
      <c r="AE15" s="86">
        <f>+IFERROR(VLOOKUP($A15,[29]Лист1!$A$5:$E$1048576,3,0),0)</f>
        <v/>
      </c>
      <c r="AF15" s="86">
        <f>+IFERROR(VLOOKUP($A15,'[30]1'!$A$5:$E$1048576,3,0),0)</f>
        <v/>
      </c>
      <c r="AG15" s="86">
        <f>+IFERROR(VLOOKUP($A15,'[31]1'!$A$5:$E$1048576,3,0),0)</f>
        <v/>
      </c>
      <c r="AH15" s="86">
        <f>+IFERROR(VLOOKUP($A15,'[32]1-жадвал'!$A$5:$E$1048576,3,0),0)</f>
        <v/>
      </c>
      <c r="AI15" s="248">
        <f>+IFERROR(VLOOKUP($A15,[33]Balance!$A$5:$E$1048576,3,0),0)</f>
        <v/>
      </c>
      <c r="AJ15" s="100">
        <f>+IFERROR(VLOOKUP($A15,[34]Balance!$A$5:$E$1048576,3,0),0)</f>
        <v/>
      </c>
      <c r="AK15" s="100">
        <f>+IFERROR(VLOOKUP($A15,'[35]1'!$A$5:$E$1048576,3,0),0)</f>
        <v/>
      </c>
    </row>
    <row r="16" ht="25.5" customHeight="1">
      <c r="A16" s="183" t="inlineStr">
        <is>
          <t>5.2</t>
        </is>
      </c>
      <c r="B16" s="87" t="inlineStr">
        <is>
          <t xml:space="preserve">Минус: Кўрилиши мумкин бўлган зарарларни қоплаш захираси </t>
        </is>
      </c>
      <c r="C16" s="86">
        <f>+IFERROR(VLOOKUP($A16,[1]Лист1!$A$5:$E$1048576,3,0),0)</f>
        <v/>
      </c>
      <c r="D16" s="86">
        <f>+IFERROR(VLOOKUP($A16,'[2]1'!$A$5:$E$1048576,3,0),0)</f>
        <v/>
      </c>
      <c r="E16" s="86">
        <f>+IFERROR(VLOOKUP($A16,'[3]1'!$A$5:$E$1048576,3,0),0)</f>
        <v/>
      </c>
      <c r="F16" s="86">
        <f>+IFERROR(VLOOKUP($A16,[4]Balance!$A$5:$E$1048576,3,0),0)</f>
        <v/>
      </c>
      <c r="G16" s="86">
        <f>+IFERROR(VLOOKUP($A16,'[5]1'!$A$5:$E$1048576,3,0),0)</f>
        <v/>
      </c>
      <c r="H16" s="86">
        <f>+IFERROR(VLOOKUP($A16,[6]Balance!$A$5:$E$1048576,3,0),0)</f>
        <v/>
      </c>
      <c r="I16" s="86">
        <f>+IFERROR(VLOOKUP($A16,[7]Balance!$A$5:$E$1048576,3,0),0)</f>
        <v/>
      </c>
      <c r="J16" s="86">
        <f>+IFERROR(VLOOKUP($A16,'[8]1'!$A$5:$E$1048576,3,0),0)</f>
        <v/>
      </c>
      <c r="K16" s="86">
        <f>+IFERROR(VLOOKUP($A16,'[9]1'!$A$5:$E$1048576,3,0),0)</f>
        <v/>
      </c>
      <c r="L16" s="86">
        <f>+IFERROR(VLOOKUP($A16,'[10]1'!$A$5:$E$1048576,3,0),0)</f>
        <v/>
      </c>
      <c r="M16" s="86">
        <f>+IFERROR(VLOOKUP($A16,'[11]1'!$A$5:$E$1048576,3,0),0)</f>
        <v/>
      </c>
      <c r="N16" s="86">
        <f>+IFERROR(VLOOKUP($A16,[12]Balance!$A$5:$E$1048576,3,0),0)</f>
        <v/>
      </c>
      <c r="O16" s="86">
        <f>+IFERROR(VLOOKUP($A16,'[13]1 т'!$A$5:$E$1048576,3,0),0)</f>
        <v/>
      </c>
      <c r="P16" s="86">
        <f>+IFERROR(VLOOKUP($A16,[14]Balance!$A$5:$E$1048576,3,0),0)</f>
        <v/>
      </c>
      <c r="Q16" s="86">
        <f>+IFERROR(VLOOKUP($A16,[15]Balance!$A$5:$E$1048576,3,0),0)</f>
        <v/>
      </c>
      <c r="R16" s="86">
        <f>+IFERROR(VLOOKUP($A16,'[16]1'!$A$5:$E$1048576,3,0),0)</f>
        <v/>
      </c>
      <c r="S16" s="86">
        <f>+IFERROR(VLOOKUP($A16,'[17]1'!$A$5:$E$1048576,3,0),0)</f>
        <v/>
      </c>
      <c r="T16" s="86">
        <f>+IFERROR(VLOOKUP($A16,'[18]1'!$A$5:$E$1048576,3,0),0)</f>
        <v/>
      </c>
      <c r="U16" s="86">
        <f>+IFERROR(VLOOKUP($A16,[19]Balans!$A$5:$E$1048576,3,0),0)</f>
        <v/>
      </c>
      <c r="V16" s="86">
        <f>+IFERROR(VLOOKUP($A16,'[20]1'!$A$5:$E$1048576,3,0),0)</f>
        <v/>
      </c>
      <c r="W16" s="86">
        <f>+IFERROR(VLOOKUP($A16,[21]Balance!$A$5:$E$1048576,3,0),0)</f>
        <v/>
      </c>
      <c r="X16" s="86">
        <f>+IFERROR(VLOOKUP($A16,'[22]1'!$A$5:$E$1048576,3,0),0)</f>
        <v/>
      </c>
      <c r="Y16" s="86">
        <f>+IFERROR(VLOOKUP($A16,[23]Лист1!$A$5:$E$1048576,3,0),0)</f>
        <v/>
      </c>
      <c r="Z16" s="86">
        <f>+IFERROR(VLOOKUP($A16,'[24]1'!$A$5:$E$1048576,3,0),0)</f>
        <v/>
      </c>
      <c r="AA16" s="86">
        <f>+IFERROR(VLOOKUP($A16,[25]Balance!$A$5:$E$1048576,3,0),0)</f>
        <v/>
      </c>
      <c r="AB16" s="86">
        <f>+IFERROR(VLOOKUP($A16,'[26]1'!$A$5:$E$1048576,3,0),0)</f>
        <v/>
      </c>
      <c r="AC16" s="86">
        <f>+IFERROR(VLOOKUP($A16,'[27]1'!$A$5:$E$1048576,3,0),0)</f>
        <v/>
      </c>
      <c r="AD16" s="86">
        <f>+IFERROR(VLOOKUP($A16,'[28]1'!$A$5:$E$1048576,3,0),0)</f>
        <v/>
      </c>
      <c r="AE16" s="86">
        <f>+IFERROR(VLOOKUP($A16,[29]Лист1!$A$5:$E$1048576,3,0),0)</f>
        <v/>
      </c>
      <c r="AF16" s="86">
        <f>+IFERROR(VLOOKUP($A16,'[30]1'!$A$5:$E$1048576,3,0),0)</f>
        <v/>
      </c>
      <c r="AG16" s="86">
        <f>+IFERROR(VLOOKUP($A16,'[31]1'!$A$5:$E$1048576,3,0),0)</f>
        <v/>
      </c>
      <c r="AH16" s="86">
        <f>+IFERROR(VLOOKUP($A16,'[32]1-жадвал'!$A$5:$E$1048576,3,0),0)</f>
        <v/>
      </c>
      <c r="AI16" s="248">
        <f>+IFERROR(VLOOKUP($A16,[33]Balance!$A$5:$E$1048576,3,0),0)</f>
        <v/>
      </c>
      <c r="AJ16" s="100">
        <f>+IFERROR(VLOOKUP($A16,[34]Balance!$A$5:$E$1048576,3,0),0)</f>
        <v/>
      </c>
      <c r="AK16" s="100">
        <f>+IFERROR(VLOOKUP($A16,'[35]1'!$A$5:$E$1048576,3,0),0)</f>
        <v/>
      </c>
    </row>
    <row r="17">
      <c r="A17" s="183" t="n">
        <v>6</v>
      </c>
      <c r="B17" s="87" t="inlineStr">
        <is>
          <t>Инвестициялар, соф</t>
        </is>
      </c>
      <c r="C17" s="86">
        <f>+IFERROR(VLOOKUP($A17,[1]Лист1!$A$5:$E$1048576,3,0),0)</f>
        <v/>
      </c>
      <c r="D17" s="86">
        <f>+IFERROR(VLOOKUP($A17,'[2]1'!$A$5:$E$1048576,3,0),0)</f>
        <v/>
      </c>
      <c r="E17" s="86">
        <f>+IFERROR(VLOOKUP($A17,'[3]1'!$A$5:$E$1048576,3,0),0)</f>
        <v/>
      </c>
      <c r="F17" s="86">
        <f>+IFERROR(VLOOKUP($A17,[4]Balance!$A$5:$E$1048576,3,0),0)</f>
        <v/>
      </c>
      <c r="G17" s="86">
        <f>+IFERROR(VLOOKUP($A17,'[5]1'!$A$5:$E$1048576,3,0),0)</f>
        <v/>
      </c>
      <c r="H17" s="86">
        <f>+IFERROR(VLOOKUP($A17,[6]Balance!$A$5:$E$1048576,3,0),0)</f>
        <v/>
      </c>
      <c r="I17" s="86">
        <f>+IFERROR(VLOOKUP($A17,[7]Balance!$A$5:$E$1048576,3,0),0)</f>
        <v/>
      </c>
      <c r="J17" s="86">
        <f>+IFERROR(VLOOKUP($A17,'[8]1'!$A$5:$E$1048576,3,0),0)</f>
        <v/>
      </c>
      <c r="K17" s="86">
        <f>+IFERROR(VLOOKUP($A17,'[9]1'!$A$5:$E$1048576,3,0),0)</f>
        <v/>
      </c>
      <c r="L17" s="86">
        <f>+IFERROR(VLOOKUP($A17,'[10]1'!$A$5:$E$1048576,3,0),0)</f>
        <v/>
      </c>
      <c r="M17" s="86">
        <f>+IFERROR(VLOOKUP($A17,'[11]1'!$A$5:$E$1048576,3,0),0)</f>
        <v/>
      </c>
      <c r="N17" s="86">
        <f>+IFERROR(VLOOKUP($A17,[12]Balance!$A$5:$E$1048576,3,0),0)</f>
        <v/>
      </c>
      <c r="O17" s="86">
        <f>+IFERROR(VLOOKUP($A17,'[13]1 т'!$A$5:$E$1048576,3,0),0)</f>
        <v/>
      </c>
      <c r="P17" s="86">
        <f>+IFERROR(VLOOKUP($A17,[14]Balance!$A$5:$E$1048576,3,0),0)</f>
        <v/>
      </c>
      <c r="Q17" s="86">
        <f>+IFERROR(VLOOKUP($A17,[15]Balance!$A$5:$E$1048576,3,0),0)</f>
        <v/>
      </c>
      <c r="R17" s="86">
        <f>+IFERROR(VLOOKUP($A17,'[16]1'!$A$5:$E$1048576,3,0),0)</f>
        <v/>
      </c>
      <c r="S17" s="86">
        <f>+IFERROR(VLOOKUP($A17,'[17]1'!$A$5:$E$1048576,3,0),0)</f>
        <v/>
      </c>
      <c r="T17" s="86">
        <f>+IFERROR(VLOOKUP($A17,'[18]1'!$A$5:$E$1048576,3,0),0)</f>
        <v/>
      </c>
      <c r="U17" s="86">
        <f>+IFERROR(VLOOKUP($A17,[19]Balans!$A$5:$E$1048576,3,0),0)</f>
        <v/>
      </c>
      <c r="V17" s="86">
        <f>+IFERROR(VLOOKUP($A17,'[20]1'!$A$5:$E$1048576,3,0),0)</f>
        <v/>
      </c>
      <c r="W17" s="86">
        <f>+IFERROR(VLOOKUP($A17,[21]Balance!$A$5:$E$1048576,3,0),0)</f>
        <v/>
      </c>
      <c r="X17" s="86">
        <f>+IFERROR(VLOOKUP($A17,'[22]1'!$A$5:$E$1048576,3,0),0)</f>
        <v/>
      </c>
      <c r="Y17" s="86">
        <f>+IFERROR(VLOOKUP($A17,[23]Лист1!$A$5:$E$1048576,3,0),0)</f>
        <v/>
      </c>
      <c r="Z17" s="86">
        <f>+IFERROR(VLOOKUP($A17,'[24]1'!$A$5:$E$1048576,3,0),0)</f>
        <v/>
      </c>
      <c r="AA17" s="86">
        <f>+IFERROR(VLOOKUP($A17,[25]Balance!$A$5:$E$1048576,3,0),0)</f>
        <v/>
      </c>
      <c r="AB17" s="86">
        <f>+IFERROR(VLOOKUP($A17,'[26]1'!$A$5:$E$1048576,3,0),0)</f>
        <v/>
      </c>
      <c r="AC17" s="86">
        <f>+IFERROR(VLOOKUP($A17,'[27]1'!$A$5:$E$1048576,3,0),0)</f>
        <v/>
      </c>
      <c r="AD17" s="86">
        <f>+IFERROR(VLOOKUP($A17,'[28]1'!$A$5:$E$1048576,3,0),0)</f>
        <v/>
      </c>
      <c r="AE17" s="86">
        <f>+IFERROR(VLOOKUP($A17,[29]Лист1!$A$5:$E$1048576,3,0),0)</f>
        <v/>
      </c>
      <c r="AF17" s="86">
        <f>+IFERROR(VLOOKUP($A17,'[30]1'!$A$5:$E$1048576,3,0),0)</f>
        <v/>
      </c>
      <c r="AG17" s="86">
        <f>+IFERROR(VLOOKUP($A17,'[31]1'!$A$5:$E$1048576,3,0),0)</f>
        <v/>
      </c>
      <c r="AH17" s="86">
        <f>+IFERROR(VLOOKUP($A17,'[32]1-жадвал'!$A$5:$E$1048576,3,0),0)</f>
        <v/>
      </c>
      <c r="AI17" s="248">
        <f>+IFERROR(VLOOKUP($A17,[33]Balance!$A$5:$E$1048576,3,0),0)</f>
        <v/>
      </c>
      <c r="AJ17" s="100">
        <f>+IFERROR(VLOOKUP($A17,[34]Balance!$A$5:$E$1048576,3,0),0)</f>
        <v/>
      </c>
      <c r="AK17" s="100">
        <f>+IFERROR(VLOOKUP($A17,'[35]1'!$A$5:$E$1048576,3,0),0)</f>
        <v/>
      </c>
    </row>
    <row r="18">
      <c r="A18" s="183" t="inlineStr">
        <is>
          <t>6.1</t>
        </is>
      </c>
      <c r="B18" s="87" t="inlineStr">
        <is>
          <t>Инвестициялар, брутто</t>
        </is>
      </c>
      <c r="C18" s="86">
        <f>+IFERROR(VLOOKUP($A18,[1]Лист1!$A$5:$E$1048576,3,0),0)</f>
        <v/>
      </c>
      <c r="D18" s="86">
        <f>+IFERROR(VLOOKUP($A18,'[2]1'!$A$5:$E$1048576,3,0),0)</f>
        <v/>
      </c>
      <c r="E18" s="86">
        <f>+IFERROR(VLOOKUP($A18,'[3]1'!$A$5:$E$1048576,3,0),0)</f>
        <v/>
      </c>
      <c r="F18" s="86">
        <f>+IFERROR(VLOOKUP($A18,[4]Balance!$A$5:$E$1048576,3,0),0)</f>
        <v/>
      </c>
      <c r="G18" s="86">
        <f>+IFERROR(VLOOKUP($A18,'[5]1'!$A$5:$E$1048576,3,0),0)</f>
        <v/>
      </c>
      <c r="H18" s="86">
        <f>+IFERROR(VLOOKUP($A18,[6]Balance!$A$5:$E$1048576,3,0),0)</f>
        <v/>
      </c>
      <c r="I18" s="86">
        <f>+IFERROR(VLOOKUP($A18,[7]Balance!$A$5:$E$1048576,3,0),0)</f>
        <v/>
      </c>
      <c r="J18" s="86">
        <f>+IFERROR(VLOOKUP($A18,'[8]1'!$A$5:$E$1048576,3,0),0)</f>
        <v/>
      </c>
      <c r="K18" s="86">
        <f>+IFERROR(VLOOKUP($A18,'[9]1'!$A$5:$E$1048576,3,0),0)</f>
        <v/>
      </c>
      <c r="L18" s="86">
        <f>+IFERROR(VLOOKUP($A18,'[10]1'!$A$5:$E$1048576,3,0),0)</f>
        <v/>
      </c>
      <c r="M18" s="86">
        <f>+IFERROR(VLOOKUP($A18,'[11]1'!$A$5:$E$1048576,3,0),0)</f>
        <v/>
      </c>
      <c r="N18" s="86">
        <f>+IFERROR(VLOOKUP($A18,[12]Balance!$A$5:$E$1048576,3,0),0)</f>
        <v/>
      </c>
      <c r="O18" s="86">
        <f>+IFERROR(VLOOKUP($A18,'[13]1 т'!$A$5:$E$1048576,3,0),0)</f>
        <v/>
      </c>
      <c r="P18" s="86">
        <f>+IFERROR(VLOOKUP($A18,[14]Balance!$A$5:$E$1048576,3,0),0)</f>
        <v/>
      </c>
      <c r="Q18" s="86">
        <f>+IFERROR(VLOOKUP($A18,[15]Balance!$A$5:$E$1048576,3,0),0)</f>
        <v/>
      </c>
      <c r="R18" s="86">
        <f>+IFERROR(VLOOKUP($A18,'[16]1'!$A$5:$E$1048576,3,0),0)</f>
        <v/>
      </c>
      <c r="S18" s="86">
        <f>+IFERROR(VLOOKUP($A18,'[17]1'!$A$5:$E$1048576,3,0),0)</f>
        <v/>
      </c>
      <c r="T18" s="86">
        <f>+IFERROR(VLOOKUP($A18,'[18]1'!$A$5:$E$1048576,3,0),0)</f>
        <v/>
      </c>
      <c r="U18" s="86">
        <f>+IFERROR(VLOOKUP($A18,[19]Balans!$A$5:$E$1048576,3,0),0)</f>
        <v/>
      </c>
      <c r="V18" s="86">
        <f>+IFERROR(VLOOKUP($A18,'[20]1'!$A$5:$E$1048576,3,0),0)</f>
        <v/>
      </c>
      <c r="W18" s="86">
        <f>+IFERROR(VLOOKUP($A18,[21]Balance!$A$5:$E$1048576,3,0),0)</f>
        <v/>
      </c>
      <c r="X18" s="86">
        <f>+IFERROR(VLOOKUP($A18,'[22]1'!$A$5:$E$1048576,3,0),0)</f>
        <v/>
      </c>
      <c r="Y18" s="86">
        <f>+IFERROR(VLOOKUP($A18,[23]Лист1!$A$5:$E$1048576,3,0),0)</f>
        <v/>
      </c>
      <c r="Z18" s="86">
        <f>+IFERROR(VLOOKUP($A18,'[24]1'!$A$5:$E$1048576,3,0),0)</f>
        <v/>
      </c>
      <c r="AA18" s="86">
        <f>+IFERROR(VLOOKUP($A18,[25]Balance!$A$5:$E$1048576,3,0),0)</f>
        <v/>
      </c>
      <c r="AB18" s="86">
        <f>+IFERROR(VLOOKUP($A18,'[26]1'!$A$5:$E$1048576,3,0),0)</f>
        <v/>
      </c>
      <c r="AC18" s="86">
        <f>+IFERROR(VLOOKUP($A18,'[27]1'!$A$5:$E$1048576,3,0),0)</f>
        <v/>
      </c>
      <c r="AD18" s="86">
        <f>+IFERROR(VLOOKUP($A18,'[28]1'!$A$5:$E$1048576,3,0),0)</f>
        <v/>
      </c>
      <c r="AE18" s="86">
        <f>+IFERROR(VLOOKUP($A18,[29]Лист1!$A$5:$E$1048576,3,0),0)</f>
        <v/>
      </c>
      <c r="AF18" s="86">
        <f>+IFERROR(VLOOKUP($A18,'[30]1'!$A$5:$E$1048576,3,0),0)</f>
        <v/>
      </c>
      <c r="AG18" s="86">
        <f>+IFERROR(VLOOKUP($A18,'[31]1'!$A$5:$E$1048576,3,0),0)</f>
        <v/>
      </c>
      <c r="AH18" s="86">
        <f>+IFERROR(VLOOKUP($A18,'[32]1-жадвал'!$A$5:$E$1048576,3,0),0)</f>
        <v/>
      </c>
      <c r="AI18" s="248">
        <f>+IFERROR(VLOOKUP($A18,[33]Balance!$A$5:$E$1048576,3,0),0)</f>
        <v/>
      </c>
      <c r="AJ18" s="100">
        <f>+IFERROR(VLOOKUP($A18,[34]Balance!$A$5:$E$1048576,3,0),0)</f>
        <v/>
      </c>
      <c r="AK18" s="100">
        <f>+IFERROR(VLOOKUP($A18,'[35]1'!$A$5:$E$1048576,3,0),0)</f>
        <v/>
      </c>
    </row>
    <row r="19">
      <c r="A19" s="88" t="inlineStr">
        <is>
          <t>6.2</t>
        </is>
      </c>
      <c r="B19" s="87" t="inlineStr">
        <is>
          <t>Инвестициялар бўйича харажатлар, дисконт ва мукофот</t>
        </is>
      </c>
      <c r="C19" s="86">
        <f>+IFERROR(VLOOKUP($A19,[1]Лист1!$A$5:$E$1048576,3,0),0)</f>
        <v/>
      </c>
      <c r="D19" s="86">
        <f>+IFERROR(VLOOKUP($A19,'[2]1'!$A$5:$E$1048576,3,0),0)</f>
        <v/>
      </c>
      <c r="E19" s="86">
        <f>+IFERROR(VLOOKUP($A19,'[3]1'!$A$5:$E$1048576,3,0),0)</f>
        <v/>
      </c>
      <c r="F19" s="86">
        <f>+IFERROR(VLOOKUP($A19,[4]Balance!$A$5:$E$1048576,3,0),0)</f>
        <v/>
      </c>
      <c r="G19" s="86">
        <f>+IFERROR(VLOOKUP($A19,'[5]1'!$A$5:$E$1048576,3,0),0)</f>
        <v/>
      </c>
      <c r="H19" s="86">
        <f>+IFERROR(VLOOKUP($A19,[6]Balance!$A$5:$E$1048576,3,0),0)</f>
        <v/>
      </c>
      <c r="I19" s="86">
        <f>+IFERROR(VLOOKUP($A19,[7]Balance!$A$5:$E$1048576,3,0),0)</f>
        <v/>
      </c>
      <c r="J19" s="86">
        <f>+IFERROR(VLOOKUP($A19,'[8]1'!$A$5:$E$1048576,3,0),0)</f>
        <v/>
      </c>
      <c r="K19" s="86">
        <f>+IFERROR(VLOOKUP($A19,'[9]1'!$A$5:$E$1048576,3,0),0)</f>
        <v/>
      </c>
      <c r="L19" s="86">
        <f>+IFERROR(VLOOKUP($A19,'[10]1'!$A$5:$E$1048576,3,0),0)</f>
        <v/>
      </c>
      <c r="M19" s="86">
        <f>+IFERROR(VLOOKUP($A19,'[11]1'!$A$5:$E$1048576,3,0),0)</f>
        <v/>
      </c>
      <c r="N19" s="86">
        <f>+IFERROR(VLOOKUP($A19,[12]Balance!$A$5:$E$1048576,3,0),0)</f>
        <v/>
      </c>
      <c r="O19" s="86">
        <f>+IFERROR(VLOOKUP($A19,'[13]1 т'!$A$5:$E$1048576,3,0),0)</f>
        <v/>
      </c>
      <c r="P19" s="86">
        <f>+IFERROR(VLOOKUP($A19,[14]Balance!$A$5:$E$1048576,3,0),0)</f>
        <v/>
      </c>
      <c r="Q19" s="86">
        <f>+IFERROR(VLOOKUP($A19,[15]Balance!$A$5:$E$1048576,3,0),0)</f>
        <v/>
      </c>
      <c r="R19" s="86">
        <f>+IFERROR(VLOOKUP($A19,'[16]1'!$A$5:$E$1048576,3,0),0)</f>
        <v/>
      </c>
      <c r="S19" s="86">
        <f>+IFERROR(VLOOKUP($A19,'[17]1'!$A$5:$E$1048576,3,0),0)</f>
        <v/>
      </c>
      <c r="T19" s="86">
        <f>+IFERROR(VLOOKUP($A19,'[18]1'!$A$5:$E$1048576,3,0),0)</f>
        <v/>
      </c>
      <c r="U19" s="86">
        <f>+IFERROR(VLOOKUP($A19,[19]Balans!$A$5:$E$1048576,3,0),0)</f>
        <v/>
      </c>
      <c r="V19" s="86">
        <f>+IFERROR(VLOOKUP($A19,'[20]1'!$A$5:$E$1048576,3,0),0)</f>
        <v/>
      </c>
      <c r="W19" s="86">
        <f>+IFERROR(VLOOKUP($A19,[21]Balance!$A$5:$E$1048576,3,0),0)</f>
        <v/>
      </c>
      <c r="X19" s="86">
        <f>+IFERROR(VLOOKUP($A19,'[22]1'!$A$5:$E$1048576,3,0),0)</f>
        <v/>
      </c>
      <c r="Y19" s="86">
        <f>+IFERROR(VLOOKUP($A19,[23]Лист1!$A$5:$E$1048576,3,0),0)</f>
        <v/>
      </c>
      <c r="Z19" s="86">
        <f>+IFERROR(VLOOKUP($A19,'[24]1'!$A$5:$E$1048576,3,0),0)</f>
        <v/>
      </c>
      <c r="AA19" s="86">
        <f>+IFERROR(VLOOKUP($A19,[25]Balance!$A$5:$E$1048576,3,0),0)</f>
        <v/>
      </c>
      <c r="AB19" s="86">
        <f>+IFERROR(VLOOKUP($A19,'[26]1'!$A$5:$E$1048576,3,0),0)</f>
        <v/>
      </c>
      <c r="AC19" s="86">
        <f>+IFERROR(VLOOKUP($A19,'[27]1'!$A$5:$E$1048576,3,0),0)</f>
        <v/>
      </c>
      <c r="AD19" s="86">
        <f>+IFERROR(VLOOKUP($A19,'[28]1'!$A$5:$E$1048576,3,0),0)</f>
        <v/>
      </c>
      <c r="AE19" s="86">
        <f>+IFERROR(VLOOKUP($A19,[29]Лист1!$A$5:$E$1048576,3,0),0)</f>
        <v/>
      </c>
      <c r="AF19" s="86">
        <f>+IFERROR(VLOOKUP($A19,'[30]1'!$A$5:$E$1048576,3,0),0)</f>
        <v/>
      </c>
      <c r="AG19" s="86">
        <f>+IFERROR(VLOOKUP($A19,'[31]1'!$A$5:$E$1048576,3,0),0)</f>
        <v/>
      </c>
      <c r="AH19" s="86">
        <f>+IFERROR(VLOOKUP($A19,'[32]1-жадвал'!$A$5:$E$1048576,3,0),0)</f>
        <v/>
      </c>
      <c r="AI19" s="248">
        <f>+IFERROR(VLOOKUP($A19,[33]Balance!$A$5:$E$1048576,3,0),0)</f>
        <v/>
      </c>
      <c r="AJ19" s="100">
        <f>+IFERROR(VLOOKUP($A19,[34]Balance!$A$5:$E$1048576,3,0),0)</f>
        <v/>
      </c>
      <c r="AK19" s="100">
        <f>+IFERROR(VLOOKUP($A19,'[35]1'!$A$5:$E$1048576,3,0),0)</f>
        <v/>
      </c>
    </row>
    <row r="20" ht="25.5" customHeight="1">
      <c r="A20" s="183" t="inlineStr">
        <is>
          <t>6.3</t>
        </is>
      </c>
      <c r="B20" s="87" t="inlineStr">
        <is>
          <t>Минус: Кўрилиши мумкин бўлган зарарларни қоплаш захираси</t>
        </is>
      </c>
      <c r="C20" s="86">
        <f>+IFERROR(VLOOKUP($A20,[1]Лист1!$A$5:$E$1048576,3,0),0)</f>
        <v/>
      </c>
      <c r="D20" s="86">
        <f>+IFERROR(VLOOKUP($A20,'[2]1'!$A$5:$E$1048576,3,0),0)</f>
        <v/>
      </c>
      <c r="E20" s="86">
        <f>+IFERROR(VLOOKUP($A20,'[3]1'!$A$5:$E$1048576,3,0),0)</f>
        <v/>
      </c>
      <c r="F20" s="86">
        <f>+IFERROR(VLOOKUP($A20,[4]Balance!$A$5:$E$1048576,3,0),0)</f>
        <v/>
      </c>
      <c r="G20" s="86">
        <f>+IFERROR(VLOOKUP($A20,'[5]1'!$A$5:$E$1048576,3,0),0)</f>
        <v/>
      </c>
      <c r="H20" s="86">
        <f>+IFERROR(VLOOKUP($A20,[6]Balance!$A$5:$E$1048576,3,0),0)</f>
        <v/>
      </c>
      <c r="I20" s="86">
        <f>+IFERROR(VLOOKUP($A20,[7]Balance!$A$5:$E$1048576,3,0),0)</f>
        <v/>
      </c>
      <c r="J20" s="86">
        <f>+IFERROR(VLOOKUP($A20,'[8]1'!$A$5:$E$1048576,3,0),0)</f>
        <v/>
      </c>
      <c r="K20" s="86">
        <f>+IFERROR(VLOOKUP($A20,'[9]1'!$A$5:$E$1048576,3,0),0)</f>
        <v/>
      </c>
      <c r="L20" s="86">
        <f>+IFERROR(VLOOKUP($A20,'[10]1'!$A$5:$E$1048576,3,0),0)</f>
        <v/>
      </c>
      <c r="M20" s="86">
        <f>+IFERROR(VLOOKUP($A20,'[11]1'!$A$5:$E$1048576,3,0),0)</f>
        <v/>
      </c>
      <c r="N20" s="86">
        <f>+IFERROR(VLOOKUP($A20,[12]Balance!$A$5:$E$1048576,3,0),0)</f>
        <v/>
      </c>
      <c r="O20" s="86">
        <f>+IFERROR(VLOOKUP($A20,'[13]1 т'!$A$5:$E$1048576,3,0),0)</f>
        <v/>
      </c>
      <c r="P20" s="86">
        <f>+IFERROR(VLOOKUP($A20,[14]Balance!$A$5:$E$1048576,3,0),0)</f>
        <v/>
      </c>
      <c r="Q20" s="86">
        <f>+IFERROR(VLOOKUP($A20,[15]Balance!$A$5:$E$1048576,3,0),0)</f>
        <v/>
      </c>
      <c r="R20" s="86">
        <f>+IFERROR(VLOOKUP($A20,'[16]1'!$A$5:$E$1048576,3,0),0)</f>
        <v/>
      </c>
      <c r="S20" s="86">
        <f>+IFERROR(VLOOKUP($A20,'[17]1'!$A$5:$E$1048576,3,0),0)</f>
        <v/>
      </c>
      <c r="T20" s="86">
        <f>+IFERROR(VLOOKUP($A20,'[18]1'!$A$5:$E$1048576,3,0),0)</f>
        <v/>
      </c>
      <c r="U20" s="86">
        <f>+IFERROR(VLOOKUP($A20,[19]Balans!$A$5:$E$1048576,3,0),0)</f>
        <v/>
      </c>
      <c r="V20" s="86">
        <f>+IFERROR(VLOOKUP($A20,'[20]1'!$A$5:$E$1048576,3,0),0)</f>
        <v/>
      </c>
      <c r="W20" s="86">
        <f>+IFERROR(VLOOKUP($A20,[21]Balance!$A$5:$E$1048576,3,0),0)</f>
        <v/>
      </c>
      <c r="X20" s="86">
        <f>+IFERROR(VLOOKUP($A20,'[22]1'!$A$5:$E$1048576,3,0),0)</f>
        <v/>
      </c>
      <c r="Y20" s="86">
        <f>+IFERROR(VLOOKUP($A20,[23]Лист1!$A$5:$E$1048576,3,0),0)</f>
        <v/>
      </c>
      <c r="Z20" s="86">
        <f>+IFERROR(VLOOKUP($A20,'[24]1'!$A$5:$E$1048576,3,0),0)</f>
        <v/>
      </c>
      <c r="AA20" s="86">
        <f>+IFERROR(VLOOKUP($A20,[25]Balance!$A$5:$E$1048576,3,0),0)</f>
        <v/>
      </c>
      <c r="AB20" s="86">
        <f>+IFERROR(VLOOKUP($A20,'[26]1'!$A$5:$E$1048576,3,0),0)</f>
        <v/>
      </c>
      <c r="AC20" s="86">
        <f>+IFERROR(VLOOKUP($A20,'[27]1'!$A$5:$E$1048576,3,0),0)</f>
        <v/>
      </c>
      <c r="AD20" s="86">
        <f>+IFERROR(VLOOKUP($A20,'[28]1'!$A$5:$E$1048576,3,0),0)</f>
        <v/>
      </c>
      <c r="AE20" s="86">
        <f>+IFERROR(VLOOKUP($A20,[29]Лист1!$A$5:$E$1048576,3,0),0)</f>
        <v/>
      </c>
      <c r="AF20" s="86">
        <f>+IFERROR(VLOOKUP($A20,'[30]1'!$A$5:$E$1048576,3,0),0)</f>
        <v/>
      </c>
      <c r="AG20" s="86">
        <f>+IFERROR(VLOOKUP($A20,'[31]1'!$A$5:$E$1048576,3,0),0)</f>
        <v/>
      </c>
      <c r="AH20" s="86">
        <f>+IFERROR(VLOOKUP($A20,'[32]1-жадвал'!$A$5:$E$1048576,3,0),0)</f>
        <v/>
      </c>
      <c r="AI20" s="248">
        <f>+IFERROR(VLOOKUP($A20,[33]Balance!$A$5:$E$1048576,3,0),0)</f>
        <v/>
      </c>
      <c r="AJ20" s="100">
        <f>+IFERROR(VLOOKUP($A20,[34]Balance!$A$5:$E$1048576,3,0),0)</f>
        <v/>
      </c>
      <c r="AK20" s="100">
        <f>+IFERROR(VLOOKUP($A20,'[35]1'!$A$5:$E$1048576,3,0),0)</f>
        <v/>
      </c>
    </row>
    <row r="21" ht="25.5" customHeight="1">
      <c r="A21" s="183" t="n">
        <v>7</v>
      </c>
      <c r="B21" s="87" t="inlineStr">
        <is>
          <t>РЕПО битимлари бўйича сотиб олинган қимматли қоғозлар, соф</t>
        </is>
      </c>
      <c r="C21" s="86">
        <f>+IFERROR(VLOOKUP($A21,[1]Лист1!$A$5:$E$1048576,3,0),0)</f>
        <v/>
      </c>
      <c r="D21" s="86">
        <f>+IFERROR(VLOOKUP($A21,'[2]1'!$A$5:$E$1048576,3,0),0)</f>
        <v/>
      </c>
      <c r="E21" s="86">
        <f>+IFERROR(VLOOKUP($A21,'[3]1'!$A$5:$E$1048576,3,0),0)</f>
        <v/>
      </c>
      <c r="F21" s="86">
        <f>+IFERROR(VLOOKUP($A21,[4]Balance!$A$5:$E$1048576,3,0),0)</f>
        <v/>
      </c>
      <c r="G21" s="86">
        <f>+IFERROR(VLOOKUP($A21,'[5]1'!$A$5:$E$1048576,3,0),0)</f>
        <v/>
      </c>
      <c r="H21" s="86">
        <f>+IFERROR(VLOOKUP($A21,[6]Balance!$A$5:$E$1048576,3,0),0)</f>
        <v/>
      </c>
      <c r="I21" s="86">
        <f>+IFERROR(VLOOKUP($A21,[7]Balance!$A$5:$E$1048576,3,0),0)</f>
        <v/>
      </c>
      <c r="J21" s="86">
        <f>+IFERROR(VLOOKUP($A21,'[8]1'!$A$5:$E$1048576,3,0),0)</f>
        <v/>
      </c>
      <c r="K21" s="86">
        <f>+IFERROR(VLOOKUP($A21,'[9]1'!$A$5:$E$1048576,3,0),0)</f>
        <v/>
      </c>
      <c r="L21" s="86">
        <f>+IFERROR(VLOOKUP($A21,'[10]1'!$A$5:$E$1048576,3,0),0)</f>
        <v/>
      </c>
      <c r="M21" s="86">
        <f>+IFERROR(VLOOKUP($A21,'[11]1'!$A$5:$E$1048576,3,0),0)</f>
        <v/>
      </c>
      <c r="N21" s="86">
        <f>+IFERROR(VLOOKUP($A21,[12]Balance!$A$5:$E$1048576,3,0),0)</f>
        <v/>
      </c>
      <c r="O21" s="86">
        <f>+IFERROR(VLOOKUP($A21,'[13]1 т'!$A$5:$E$1048576,3,0),0)</f>
        <v/>
      </c>
      <c r="P21" s="86">
        <f>+IFERROR(VLOOKUP($A21,[14]Balance!$A$5:$E$1048576,3,0),0)</f>
        <v/>
      </c>
      <c r="Q21" s="86">
        <f>+IFERROR(VLOOKUP($A21,[15]Balance!$A$5:$E$1048576,3,0),0)</f>
        <v/>
      </c>
      <c r="R21" s="86">
        <f>+IFERROR(VLOOKUP($A21,'[16]1'!$A$5:$E$1048576,3,0),0)</f>
        <v/>
      </c>
      <c r="S21" s="86">
        <f>+IFERROR(VLOOKUP($A21,'[17]1'!$A$5:$E$1048576,3,0),0)</f>
        <v/>
      </c>
      <c r="T21" s="86">
        <f>+IFERROR(VLOOKUP($A21,'[18]1'!$A$5:$E$1048576,3,0),0)</f>
        <v/>
      </c>
      <c r="U21" s="86">
        <f>+IFERROR(VLOOKUP($A21,[19]Balans!$A$5:$E$1048576,3,0),0)</f>
        <v/>
      </c>
      <c r="V21" s="86">
        <f>+IFERROR(VLOOKUP($A21,'[20]1'!$A$5:$E$1048576,3,0),0)</f>
        <v/>
      </c>
      <c r="W21" s="86">
        <f>+IFERROR(VLOOKUP($A21,[21]Balance!$A$5:$E$1048576,3,0),0)</f>
        <v/>
      </c>
      <c r="X21" s="86">
        <f>+IFERROR(VLOOKUP($A21,'[22]1'!$A$5:$E$1048576,3,0),0)</f>
        <v/>
      </c>
      <c r="Y21" s="86">
        <f>+IFERROR(VLOOKUP($A21,[23]Лист1!$A$5:$E$1048576,3,0),0)</f>
        <v/>
      </c>
      <c r="Z21" s="86">
        <f>+IFERROR(VLOOKUP($A21,'[24]1'!$A$5:$E$1048576,3,0),0)</f>
        <v/>
      </c>
      <c r="AA21" s="86">
        <f>+IFERROR(VLOOKUP($A21,[25]Balance!$A$5:$E$1048576,3,0),0)</f>
        <v/>
      </c>
      <c r="AB21" s="86">
        <f>+IFERROR(VLOOKUP($A21,'[26]1'!$A$5:$E$1048576,3,0),0)</f>
        <v/>
      </c>
      <c r="AC21" s="86">
        <f>+IFERROR(VLOOKUP($A21,'[27]1'!$A$5:$E$1048576,3,0),0)</f>
        <v/>
      </c>
      <c r="AD21" s="86">
        <f>+IFERROR(VLOOKUP($A21,'[28]1'!$A$5:$E$1048576,3,0),0)</f>
        <v/>
      </c>
      <c r="AE21" s="86">
        <f>+IFERROR(VLOOKUP($A21,[29]Лист1!$A$5:$E$1048576,3,0),0)</f>
        <v/>
      </c>
      <c r="AF21" s="86">
        <f>+IFERROR(VLOOKUP($A21,'[30]1'!$A$5:$E$1048576,3,0),0)</f>
        <v/>
      </c>
      <c r="AG21" s="86">
        <f>+IFERROR(VLOOKUP($A21,'[31]1'!$A$5:$E$1048576,3,0),0)</f>
        <v/>
      </c>
      <c r="AH21" s="86">
        <f>+IFERROR(VLOOKUP($A21,'[32]1-жадвал'!$A$5:$E$1048576,3,0),0)</f>
        <v/>
      </c>
      <c r="AI21" s="248">
        <f>+IFERROR(VLOOKUP($A21,[33]Balance!$A$5:$E$1048576,3,0),0)</f>
        <v/>
      </c>
      <c r="AJ21" s="100">
        <f>+IFERROR(VLOOKUP($A21,[34]Balance!$A$5:$E$1048576,3,0),0)</f>
        <v/>
      </c>
      <c r="AK21" s="100">
        <f>+IFERROR(VLOOKUP($A21,'[35]1'!$A$5:$E$1048576,3,0),0)</f>
        <v/>
      </c>
    </row>
    <row r="22" ht="25.5" customHeight="1">
      <c r="A22" s="183" t="inlineStr">
        <is>
          <t>7.1</t>
        </is>
      </c>
      <c r="B22" s="87" t="inlineStr">
        <is>
          <t>РЕПО битимлари бўйича сотиб олинган қимматли қоғозлар, брутто</t>
        </is>
      </c>
      <c r="C22" s="86">
        <f>+IFERROR(VLOOKUP($A22,[1]Лист1!$A$5:$E$1048576,3,0),0)</f>
        <v/>
      </c>
      <c r="D22" s="86">
        <f>+IFERROR(VLOOKUP($A22,'[2]1'!$A$5:$E$1048576,3,0),0)</f>
        <v/>
      </c>
      <c r="E22" s="86">
        <f>+IFERROR(VLOOKUP($A22,'[3]1'!$A$5:$E$1048576,3,0),0)</f>
        <v/>
      </c>
      <c r="F22" s="86">
        <f>+IFERROR(VLOOKUP($A22,[4]Balance!$A$5:$E$1048576,3,0),0)</f>
        <v/>
      </c>
      <c r="G22" s="86">
        <f>+IFERROR(VLOOKUP($A22,'[5]1'!$A$5:$E$1048576,3,0),0)</f>
        <v/>
      </c>
      <c r="H22" s="86">
        <f>+IFERROR(VLOOKUP($A22,[6]Balance!$A$5:$E$1048576,3,0),0)</f>
        <v/>
      </c>
      <c r="I22" s="86">
        <f>+IFERROR(VLOOKUP($A22,[7]Balance!$A$5:$E$1048576,3,0),0)</f>
        <v/>
      </c>
      <c r="J22" s="86">
        <f>+IFERROR(VLOOKUP($A22,'[8]1'!$A$5:$E$1048576,3,0),0)</f>
        <v/>
      </c>
      <c r="K22" s="86">
        <f>+IFERROR(VLOOKUP($A22,'[9]1'!$A$5:$E$1048576,3,0),0)</f>
        <v/>
      </c>
      <c r="L22" s="86">
        <f>+IFERROR(VLOOKUP($A22,'[10]1'!$A$5:$E$1048576,3,0),0)</f>
        <v/>
      </c>
      <c r="M22" s="86">
        <f>+IFERROR(VLOOKUP($A22,'[11]1'!$A$5:$E$1048576,3,0),0)</f>
        <v/>
      </c>
      <c r="N22" s="86">
        <f>+IFERROR(VLOOKUP($A22,[12]Balance!$A$5:$E$1048576,3,0),0)</f>
        <v/>
      </c>
      <c r="O22" s="86">
        <f>+IFERROR(VLOOKUP($A22,'[13]1 т'!$A$5:$E$1048576,3,0),0)</f>
        <v/>
      </c>
      <c r="P22" s="86">
        <f>+IFERROR(VLOOKUP($A22,[14]Balance!$A$5:$E$1048576,3,0),0)</f>
        <v/>
      </c>
      <c r="Q22" s="86">
        <f>+IFERROR(VLOOKUP($A22,[15]Balance!$A$5:$E$1048576,3,0),0)</f>
        <v/>
      </c>
      <c r="R22" s="86">
        <f>+IFERROR(VLOOKUP($A22,'[16]1'!$A$5:$E$1048576,3,0),0)</f>
        <v/>
      </c>
      <c r="S22" s="86">
        <f>+IFERROR(VLOOKUP($A22,'[17]1'!$A$5:$E$1048576,3,0),0)</f>
        <v/>
      </c>
      <c r="T22" s="86">
        <f>+IFERROR(VLOOKUP($A22,'[18]1'!$A$5:$E$1048576,3,0),0)</f>
        <v/>
      </c>
      <c r="U22" s="86">
        <f>+IFERROR(VLOOKUP($A22,[19]Balans!$A$5:$E$1048576,3,0),0)</f>
        <v/>
      </c>
      <c r="V22" s="86">
        <f>+IFERROR(VLOOKUP($A22,'[20]1'!$A$5:$E$1048576,3,0),0)</f>
        <v/>
      </c>
      <c r="W22" s="86">
        <f>+IFERROR(VLOOKUP($A22,[21]Balance!$A$5:$E$1048576,3,0),0)</f>
        <v/>
      </c>
      <c r="X22" s="86">
        <f>+IFERROR(VLOOKUP($A22,'[22]1'!$A$5:$E$1048576,3,0),0)</f>
        <v/>
      </c>
      <c r="Y22" s="86">
        <f>+IFERROR(VLOOKUP($A22,[23]Лист1!$A$5:$E$1048576,3,0),0)</f>
        <v/>
      </c>
      <c r="Z22" s="86">
        <f>+IFERROR(VLOOKUP($A22,'[24]1'!$A$5:$E$1048576,3,0),0)</f>
        <v/>
      </c>
      <c r="AA22" s="86">
        <f>+IFERROR(VLOOKUP($A22,[25]Balance!$A$5:$E$1048576,3,0),0)</f>
        <v/>
      </c>
      <c r="AB22" s="86">
        <f>+IFERROR(VLOOKUP($A22,'[26]1'!$A$5:$E$1048576,3,0),0)</f>
        <v/>
      </c>
      <c r="AC22" s="86">
        <f>+IFERROR(VLOOKUP($A22,'[27]1'!$A$5:$E$1048576,3,0),0)</f>
        <v/>
      </c>
      <c r="AD22" s="86">
        <f>+IFERROR(VLOOKUP($A22,'[28]1'!$A$5:$E$1048576,3,0),0)</f>
        <v/>
      </c>
      <c r="AE22" s="86">
        <f>+IFERROR(VLOOKUP($A22,[29]Лист1!$A$5:$E$1048576,3,0),0)</f>
        <v/>
      </c>
      <c r="AF22" s="86">
        <f>+IFERROR(VLOOKUP($A22,'[30]1'!$A$5:$E$1048576,3,0),0)</f>
        <v/>
      </c>
      <c r="AG22" s="86">
        <f>+IFERROR(VLOOKUP($A22,'[31]1'!$A$5:$E$1048576,3,0),0)</f>
        <v/>
      </c>
      <c r="AH22" s="86">
        <f>+IFERROR(VLOOKUP($A22,'[32]1-жадвал'!$A$5:$E$1048576,3,0),0)</f>
        <v/>
      </c>
      <c r="AI22" s="248">
        <f>+IFERROR(VLOOKUP($A22,[33]Balance!$A$5:$E$1048576,3,0),0)</f>
        <v/>
      </c>
      <c r="AJ22" s="100">
        <f>+IFERROR(VLOOKUP($A22,[34]Balance!$A$5:$E$1048576,3,0),0)</f>
        <v/>
      </c>
      <c r="AK22" s="100">
        <f>+IFERROR(VLOOKUP($A22,'[35]1'!$A$5:$E$1048576,3,0),0)</f>
        <v/>
      </c>
    </row>
    <row r="23" ht="25.5" customHeight="1">
      <c r="A23" s="183" t="inlineStr">
        <is>
          <t>7.2</t>
        </is>
      </c>
      <c r="B23" s="87" t="inlineStr">
        <is>
          <t xml:space="preserve">Минус: Кўрилиши мумкин бўлган зарарларни қоплаш захираси </t>
        </is>
      </c>
      <c r="C23" s="86">
        <f>+IFERROR(VLOOKUP($A23,[1]Лист1!$A$5:$E$1048576,3,0),0)</f>
        <v/>
      </c>
      <c r="D23" s="86">
        <f>+IFERROR(VLOOKUP($A23,'[2]1'!$A$5:$E$1048576,3,0),0)</f>
        <v/>
      </c>
      <c r="E23" s="86">
        <f>+IFERROR(VLOOKUP($A23,'[3]1'!$A$5:$E$1048576,3,0),0)</f>
        <v/>
      </c>
      <c r="F23" s="86">
        <f>+IFERROR(VLOOKUP($A23,[4]Balance!$A$5:$E$1048576,3,0),0)</f>
        <v/>
      </c>
      <c r="G23" s="86">
        <f>+IFERROR(VLOOKUP($A23,'[5]1'!$A$5:$E$1048576,3,0),0)</f>
        <v/>
      </c>
      <c r="H23" s="86">
        <f>+IFERROR(VLOOKUP($A23,[6]Balance!$A$5:$E$1048576,3,0),0)</f>
        <v/>
      </c>
      <c r="I23" s="86">
        <f>+IFERROR(VLOOKUP($A23,[7]Balance!$A$5:$E$1048576,3,0),0)</f>
        <v/>
      </c>
      <c r="J23" s="86">
        <f>+IFERROR(VLOOKUP($A23,'[8]1'!$A$5:$E$1048576,3,0),0)</f>
        <v/>
      </c>
      <c r="K23" s="86">
        <f>+IFERROR(VLOOKUP($A23,'[9]1'!$A$5:$E$1048576,3,0),0)</f>
        <v/>
      </c>
      <c r="L23" s="86">
        <f>+IFERROR(VLOOKUP($A23,'[10]1'!$A$5:$E$1048576,3,0),0)</f>
        <v/>
      </c>
      <c r="M23" s="86">
        <f>+IFERROR(VLOOKUP($A23,'[11]1'!$A$5:$E$1048576,3,0),0)</f>
        <v/>
      </c>
      <c r="N23" s="86">
        <f>+IFERROR(VLOOKUP($A23,[12]Balance!$A$5:$E$1048576,3,0),0)</f>
        <v/>
      </c>
      <c r="O23" s="86">
        <f>+IFERROR(VLOOKUP($A23,'[13]1 т'!$A$5:$E$1048576,3,0),0)</f>
        <v/>
      </c>
      <c r="P23" s="86">
        <f>+IFERROR(VLOOKUP($A23,[14]Balance!$A$5:$E$1048576,3,0),0)</f>
        <v/>
      </c>
      <c r="Q23" s="86">
        <f>+IFERROR(VLOOKUP($A23,[15]Balance!$A$5:$E$1048576,3,0),0)</f>
        <v/>
      </c>
      <c r="R23" s="86">
        <f>+IFERROR(VLOOKUP($A23,'[16]1'!$A$5:$E$1048576,3,0),0)</f>
        <v/>
      </c>
      <c r="S23" s="86">
        <f>+IFERROR(VLOOKUP($A23,'[17]1'!$A$5:$E$1048576,3,0),0)</f>
        <v/>
      </c>
      <c r="T23" s="86">
        <f>+IFERROR(VLOOKUP($A23,'[18]1'!$A$5:$E$1048576,3,0),0)</f>
        <v/>
      </c>
      <c r="U23" s="86">
        <f>+IFERROR(VLOOKUP($A23,[19]Balans!$A$5:$E$1048576,3,0),0)</f>
        <v/>
      </c>
      <c r="V23" s="86">
        <f>+IFERROR(VLOOKUP($A23,'[20]1'!$A$5:$E$1048576,3,0),0)</f>
        <v/>
      </c>
      <c r="W23" s="86">
        <f>+IFERROR(VLOOKUP($A23,[21]Balance!$A$5:$E$1048576,3,0),0)</f>
        <v/>
      </c>
      <c r="X23" s="86">
        <f>+IFERROR(VLOOKUP($A23,'[22]1'!$A$5:$E$1048576,3,0),0)</f>
        <v/>
      </c>
      <c r="Y23" s="86">
        <f>+IFERROR(VLOOKUP($A23,[23]Лист1!$A$5:$E$1048576,3,0),0)</f>
        <v/>
      </c>
      <c r="Z23" s="86">
        <f>+IFERROR(VLOOKUP($A23,'[24]1'!$A$5:$E$1048576,3,0),0)</f>
        <v/>
      </c>
      <c r="AA23" s="86">
        <f>+IFERROR(VLOOKUP($A23,[25]Balance!$A$5:$E$1048576,3,0),0)</f>
        <v/>
      </c>
      <c r="AB23" s="86">
        <f>+IFERROR(VLOOKUP($A23,'[26]1'!$A$5:$E$1048576,3,0),0)</f>
        <v/>
      </c>
      <c r="AC23" s="86">
        <f>+IFERROR(VLOOKUP($A23,'[27]1'!$A$5:$E$1048576,3,0),0)</f>
        <v/>
      </c>
      <c r="AD23" s="86">
        <f>+IFERROR(VLOOKUP($A23,'[28]1'!$A$5:$E$1048576,3,0),0)</f>
        <v/>
      </c>
      <c r="AE23" s="86">
        <f>+IFERROR(VLOOKUP($A23,[29]Лист1!$A$5:$E$1048576,3,0),0)</f>
        <v/>
      </c>
      <c r="AF23" s="86">
        <f>+IFERROR(VLOOKUP($A23,'[30]1'!$A$5:$E$1048576,3,0),0)</f>
        <v/>
      </c>
      <c r="AG23" s="86">
        <f>+IFERROR(VLOOKUP($A23,'[31]1'!$A$5:$E$1048576,3,0),0)</f>
        <v/>
      </c>
      <c r="AH23" s="86">
        <f>+IFERROR(VLOOKUP($A23,'[32]1-жадвал'!$A$5:$E$1048576,3,0),0)</f>
        <v/>
      </c>
      <c r="AI23" s="248">
        <f>+IFERROR(VLOOKUP($A23,[33]Balance!$A$5:$E$1048576,3,0),0)</f>
        <v/>
      </c>
      <c r="AJ23" s="100">
        <f>+IFERROR(VLOOKUP($A23,[34]Balance!$A$5:$E$1048576,3,0),0)</f>
        <v/>
      </c>
      <c r="AK23" s="100">
        <f>+IFERROR(VLOOKUP($A23,'[35]1'!$A$5:$E$1048576,3,0),0)</f>
        <v/>
      </c>
    </row>
    <row r="24">
      <c r="A24" s="183" t="n">
        <v>8</v>
      </c>
      <c r="B24" s="87" t="inlineStr">
        <is>
          <t>Кредит ва лизинг операциялари, соф</t>
        </is>
      </c>
      <c r="C24" s="86">
        <f>+IFERROR(VLOOKUP($A24,[1]Лист1!$A$5:$E$1048576,3,0),0)</f>
        <v/>
      </c>
      <c r="D24" s="86">
        <f>+IFERROR(VLOOKUP($A24,'[2]1'!$A$5:$E$1048576,3,0),0)</f>
        <v/>
      </c>
      <c r="E24" s="86">
        <f>+IFERROR(VLOOKUP($A24,'[3]1'!$A$5:$E$1048576,3,0),0)</f>
        <v/>
      </c>
      <c r="F24" s="86">
        <f>+IFERROR(VLOOKUP($A24,[4]Balance!$A$5:$E$1048576,3,0),0)</f>
        <v/>
      </c>
      <c r="G24" s="86">
        <f>+IFERROR(VLOOKUP($A24,'[5]1'!$A$5:$E$1048576,3,0),0)</f>
        <v/>
      </c>
      <c r="H24" s="86">
        <f>+IFERROR(VLOOKUP($A24,[6]Balance!$A$5:$E$1048576,3,0),0)</f>
        <v/>
      </c>
      <c r="I24" s="86">
        <f>+IFERROR(VLOOKUP($A24,[7]Balance!$A$5:$E$1048576,3,0),0)</f>
        <v/>
      </c>
      <c r="J24" s="86">
        <f>+IFERROR(VLOOKUP($A24,'[8]1'!$A$5:$E$1048576,3,0),0)</f>
        <v/>
      </c>
      <c r="K24" s="86">
        <f>+IFERROR(VLOOKUP($A24,'[9]1'!$A$5:$E$1048576,3,0),0)</f>
        <v/>
      </c>
      <c r="L24" s="86">
        <f>+IFERROR(VLOOKUP($A24,'[10]1'!$A$5:$E$1048576,3,0),0)</f>
        <v/>
      </c>
      <c r="M24" s="86">
        <f>+IFERROR(VLOOKUP($A24,'[11]1'!$A$5:$E$1048576,3,0),0)</f>
        <v/>
      </c>
      <c r="N24" s="86">
        <f>+IFERROR(VLOOKUP($A24,[12]Balance!$A$5:$E$1048576,3,0),0)</f>
        <v/>
      </c>
      <c r="O24" s="86">
        <f>+IFERROR(VLOOKUP($A24,'[13]1 т'!$A$5:$E$1048576,3,0),0)</f>
        <v/>
      </c>
      <c r="P24" s="86">
        <f>+IFERROR(VLOOKUP($A24,[14]Balance!$A$5:$E$1048576,3,0),0)</f>
        <v/>
      </c>
      <c r="Q24" s="86">
        <f>+IFERROR(VLOOKUP($A24,[15]Balance!$A$5:$E$1048576,3,0),0)</f>
        <v/>
      </c>
      <c r="R24" s="86">
        <f>+IFERROR(VLOOKUP($A24,'[16]1'!$A$5:$E$1048576,3,0),0)</f>
        <v/>
      </c>
      <c r="S24" s="86">
        <f>+IFERROR(VLOOKUP($A24,'[17]1'!$A$5:$E$1048576,3,0),0)</f>
        <v/>
      </c>
      <c r="T24" s="86">
        <f>+IFERROR(VLOOKUP($A24,'[18]1'!$A$5:$E$1048576,3,0),0)</f>
        <v/>
      </c>
      <c r="U24" s="86">
        <f>+IFERROR(VLOOKUP($A24,[19]Balans!$A$5:$E$1048576,3,0),0)</f>
        <v/>
      </c>
      <c r="V24" s="86">
        <f>+IFERROR(VLOOKUP($A24,'[20]1'!$A$5:$E$1048576,3,0),0)</f>
        <v/>
      </c>
      <c r="W24" s="86">
        <f>+IFERROR(VLOOKUP($A24,[21]Balance!$A$5:$E$1048576,3,0),0)</f>
        <v/>
      </c>
      <c r="X24" s="86">
        <f>+IFERROR(VLOOKUP($A24,'[22]1'!$A$5:$E$1048576,3,0),0)</f>
        <v/>
      </c>
      <c r="Y24" s="86">
        <f>+IFERROR(VLOOKUP($A24,[23]Лист1!$A$5:$E$1048576,3,0),0)</f>
        <v/>
      </c>
      <c r="Z24" s="86">
        <f>+IFERROR(VLOOKUP($A24,'[24]1'!$A$5:$E$1048576,3,0),0)</f>
        <v/>
      </c>
      <c r="AA24" s="86">
        <f>+IFERROR(VLOOKUP($A24,[25]Balance!$A$5:$E$1048576,3,0),0)</f>
        <v/>
      </c>
      <c r="AB24" s="86">
        <f>+IFERROR(VLOOKUP($A24,'[26]1'!$A$5:$E$1048576,3,0),0)</f>
        <v/>
      </c>
      <c r="AC24" s="86">
        <f>+IFERROR(VLOOKUP($A24,'[27]1'!$A$5:$E$1048576,3,0),0)</f>
        <v/>
      </c>
      <c r="AD24" s="86">
        <f>+IFERROR(VLOOKUP($A24,'[28]1'!$A$5:$E$1048576,3,0),0)</f>
        <v/>
      </c>
      <c r="AE24" s="86">
        <f>+IFERROR(VLOOKUP($A24,[29]Лист1!$A$5:$E$1048576,3,0),0)</f>
        <v/>
      </c>
      <c r="AF24" s="86">
        <f>+IFERROR(VLOOKUP($A24,'[30]1'!$A$5:$E$1048576,3,0),0)</f>
        <v/>
      </c>
      <c r="AG24" s="86">
        <f>+IFERROR(VLOOKUP($A24,'[31]1'!$A$5:$E$1048576,3,0),0)</f>
        <v/>
      </c>
      <c r="AH24" s="86">
        <f>+IFERROR(VLOOKUP($A24,'[32]1-жадвал'!$A$5:$E$1048576,3,0),0)</f>
        <v/>
      </c>
      <c r="AI24" s="248">
        <f>+IFERROR(VLOOKUP($A24,[33]Balance!$A$5:$E$1048576,3,0),0)</f>
        <v/>
      </c>
      <c r="AJ24" s="100">
        <f>+IFERROR(VLOOKUP($A24,[34]Balance!$A$5:$E$1048576,3,0),0)</f>
        <v/>
      </c>
      <c r="AK24" s="100">
        <f>+IFERROR(VLOOKUP($A24,'[35]1'!$A$5:$E$1048576,3,0),0)</f>
        <v/>
      </c>
    </row>
    <row r="25">
      <c r="A25" s="183" t="inlineStr">
        <is>
          <t>8.1</t>
        </is>
      </c>
      <c r="B25" s="87" t="inlineStr">
        <is>
          <t>Кредит ва лизинг операциялари, брутто</t>
        </is>
      </c>
      <c r="C25" s="86">
        <f>+IFERROR(VLOOKUP($A25,[1]Лист1!$A$5:$E$1048576,3,0),0)</f>
        <v/>
      </c>
      <c r="D25" s="86">
        <f>+IFERROR(VLOOKUP($A25,'[2]1'!$A$5:$E$1048576,3,0),0)</f>
        <v/>
      </c>
      <c r="E25" s="86">
        <f>+IFERROR(VLOOKUP($A25,'[3]1'!$A$5:$E$1048576,3,0),0)</f>
        <v/>
      </c>
      <c r="F25" s="86">
        <f>+IFERROR(VLOOKUP($A25,[4]Balance!$A$5:$E$1048576,3,0),0)</f>
        <v/>
      </c>
      <c r="G25" s="86">
        <f>+IFERROR(VLOOKUP($A25,'[5]1'!$A$5:$E$1048576,3,0),0)</f>
        <v/>
      </c>
      <c r="H25" s="86">
        <f>+IFERROR(VLOOKUP($A25,[6]Balance!$A$5:$E$1048576,3,0),0)</f>
        <v/>
      </c>
      <c r="I25" s="86">
        <f>+IFERROR(VLOOKUP($A25,[7]Balance!$A$5:$E$1048576,3,0),0)</f>
        <v/>
      </c>
      <c r="J25" s="86">
        <f>+IFERROR(VLOOKUP($A25,'[8]1'!$A$5:$E$1048576,3,0),0)</f>
        <v/>
      </c>
      <c r="K25" s="86">
        <f>+IFERROR(VLOOKUP($A25,'[9]1'!$A$5:$E$1048576,3,0),0)</f>
        <v/>
      </c>
      <c r="L25" s="86">
        <f>+IFERROR(VLOOKUP($A25,'[10]1'!$A$5:$E$1048576,3,0),0)</f>
        <v/>
      </c>
      <c r="M25" s="86">
        <f>+IFERROR(VLOOKUP($A25,'[11]1'!$A$5:$E$1048576,3,0),0)</f>
        <v/>
      </c>
      <c r="N25" s="86">
        <f>+IFERROR(VLOOKUP($A25,[12]Balance!$A$5:$E$1048576,3,0),0)</f>
        <v/>
      </c>
      <c r="O25" s="86">
        <f>+IFERROR(VLOOKUP($A25,'[13]1 т'!$A$5:$E$1048576,3,0),0)</f>
        <v/>
      </c>
      <c r="P25" s="86">
        <f>+IFERROR(VLOOKUP($A25,[14]Balance!$A$5:$E$1048576,3,0),0)</f>
        <v/>
      </c>
      <c r="Q25" s="86">
        <f>+IFERROR(VLOOKUP($A25,[15]Balance!$A$5:$E$1048576,3,0),0)</f>
        <v/>
      </c>
      <c r="R25" s="86">
        <f>+IFERROR(VLOOKUP($A25,'[16]1'!$A$5:$E$1048576,3,0),0)</f>
        <v/>
      </c>
      <c r="S25" s="86">
        <f>+IFERROR(VLOOKUP($A25,'[17]1'!$A$5:$E$1048576,3,0),0)</f>
        <v/>
      </c>
      <c r="T25" s="86">
        <f>+IFERROR(VLOOKUP($A25,'[18]1'!$A$5:$E$1048576,3,0),0)</f>
        <v/>
      </c>
      <c r="U25" s="86">
        <f>+IFERROR(VLOOKUP($A25,[19]Balans!$A$5:$E$1048576,3,0),0)</f>
        <v/>
      </c>
      <c r="V25" s="86">
        <f>+IFERROR(VLOOKUP($A25,'[20]1'!$A$5:$E$1048576,3,0),0)</f>
        <v/>
      </c>
      <c r="W25" s="86">
        <f>+IFERROR(VLOOKUP($A25,[21]Balance!$A$5:$E$1048576,3,0),0)</f>
        <v/>
      </c>
      <c r="X25" s="86">
        <f>+IFERROR(VLOOKUP($A25,'[22]1'!$A$5:$E$1048576,3,0),0)</f>
        <v/>
      </c>
      <c r="Y25" s="86">
        <f>+IFERROR(VLOOKUP($A25,[23]Лист1!$A$5:$E$1048576,3,0),0)</f>
        <v/>
      </c>
      <c r="Z25" s="86">
        <f>+IFERROR(VLOOKUP($A25,'[24]1'!$A$5:$E$1048576,3,0),0)</f>
        <v/>
      </c>
      <c r="AA25" s="86">
        <f>+IFERROR(VLOOKUP($A25,[25]Balance!$A$5:$E$1048576,3,0),0)</f>
        <v/>
      </c>
      <c r="AB25" s="86">
        <f>+IFERROR(VLOOKUP($A25,'[26]1'!$A$5:$E$1048576,3,0),0)</f>
        <v/>
      </c>
      <c r="AC25" s="86">
        <f>+IFERROR(VLOOKUP($A25,'[27]1'!$A$5:$E$1048576,3,0),0)</f>
        <v/>
      </c>
      <c r="AD25" s="86">
        <f>+IFERROR(VLOOKUP($A25,'[28]1'!$A$5:$E$1048576,3,0),0)</f>
        <v/>
      </c>
      <c r="AE25" s="86">
        <f>+IFERROR(VLOOKUP($A25,[29]Лист1!$A$5:$E$1048576,3,0),0)</f>
        <v/>
      </c>
      <c r="AF25" s="86">
        <f>+IFERROR(VLOOKUP($A25,'[30]1'!$A$5:$E$1048576,3,0),0)</f>
        <v/>
      </c>
      <c r="AG25" s="86">
        <f>+IFERROR(VLOOKUP($A25,'[31]1'!$A$5:$E$1048576,3,0),0)</f>
        <v/>
      </c>
      <c r="AH25" s="86">
        <f>+IFERROR(VLOOKUP($A25,'[32]1-жадвал'!$A$5:$E$1048576,3,0),0)</f>
        <v/>
      </c>
      <c r="AI25" s="248">
        <f>+IFERROR(VLOOKUP($A25,[33]Balance!$A$5:$E$1048576,3,0),0)</f>
        <v/>
      </c>
      <c r="AJ25" s="100">
        <f>+IFERROR(VLOOKUP($A25,[34]Balance!$A$5:$E$1048576,3,0),0)</f>
        <v/>
      </c>
      <c r="AK25" s="100">
        <f>+IFERROR(VLOOKUP($A25,'[35]1'!$A$5:$E$1048576,3,0),0)</f>
        <v/>
      </c>
    </row>
    <row r="26" ht="25.5" customHeight="1">
      <c r="A26" s="183" t="inlineStr">
        <is>
          <t>8.2</t>
        </is>
      </c>
      <c r="B26" s="87" t="inlineStr">
        <is>
          <t>Минус: Кўрилиши мумкин бўлган зарарларни қоплаш захираси</t>
        </is>
      </c>
      <c r="C26" s="86">
        <f>+IFERROR(VLOOKUP($A26,[1]Лист1!$A$5:$E$1048576,3,0),0)</f>
        <v/>
      </c>
      <c r="D26" s="86">
        <f>+IFERROR(VLOOKUP($A26,'[2]1'!$A$5:$E$1048576,3,0),0)</f>
        <v/>
      </c>
      <c r="E26" s="86">
        <f>+IFERROR(VLOOKUP($A26,'[3]1'!$A$5:$E$1048576,3,0),0)</f>
        <v/>
      </c>
      <c r="F26" s="86">
        <f>+IFERROR(VLOOKUP($A26,[4]Balance!$A$5:$E$1048576,3,0),0)</f>
        <v/>
      </c>
      <c r="G26" s="86">
        <f>+IFERROR(VLOOKUP($A26,'[5]1'!$A$5:$E$1048576,3,0),0)</f>
        <v/>
      </c>
      <c r="H26" s="86">
        <f>+IFERROR(VLOOKUP($A26,[6]Balance!$A$5:$E$1048576,3,0),0)</f>
        <v/>
      </c>
      <c r="I26" s="86">
        <f>+IFERROR(VLOOKUP($A26,[7]Balance!$A$5:$E$1048576,3,0),0)</f>
        <v/>
      </c>
      <c r="J26" s="86">
        <f>+IFERROR(VLOOKUP($A26,'[8]1'!$A$5:$E$1048576,3,0),0)</f>
        <v/>
      </c>
      <c r="K26" s="86">
        <f>+IFERROR(VLOOKUP($A26,'[9]1'!$A$5:$E$1048576,3,0),0)</f>
        <v/>
      </c>
      <c r="L26" s="86">
        <f>+IFERROR(VLOOKUP($A26,'[10]1'!$A$5:$E$1048576,3,0),0)</f>
        <v/>
      </c>
      <c r="M26" s="86">
        <f>+IFERROR(VLOOKUP($A26,'[11]1'!$A$5:$E$1048576,3,0),0)</f>
        <v/>
      </c>
      <c r="N26" s="86">
        <f>+IFERROR(VLOOKUP($A26,[12]Balance!$A$5:$E$1048576,3,0),0)</f>
        <v/>
      </c>
      <c r="O26" s="86">
        <f>+IFERROR(VLOOKUP($A26,'[13]1 т'!$A$5:$E$1048576,3,0),0)</f>
        <v/>
      </c>
      <c r="P26" s="86">
        <f>+IFERROR(VLOOKUP($A26,[14]Balance!$A$5:$E$1048576,3,0),0)</f>
        <v/>
      </c>
      <c r="Q26" s="86">
        <f>+IFERROR(VLOOKUP($A26,[15]Balance!$A$5:$E$1048576,3,0),0)</f>
        <v/>
      </c>
      <c r="R26" s="86">
        <f>+IFERROR(VLOOKUP($A26,'[16]1'!$A$5:$E$1048576,3,0),0)</f>
        <v/>
      </c>
      <c r="S26" s="86">
        <f>+IFERROR(VLOOKUP($A26,'[17]1'!$A$5:$E$1048576,3,0),0)</f>
        <v/>
      </c>
      <c r="T26" s="86">
        <f>+IFERROR(VLOOKUP($A26,'[18]1'!$A$5:$E$1048576,3,0),0)</f>
        <v/>
      </c>
      <c r="U26" s="86">
        <f>+IFERROR(VLOOKUP($A26,[19]Balans!$A$5:$E$1048576,3,0),0)</f>
        <v/>
      </c>
      <c r="V26" s="86">
        <f>+IFERROR(VLOOKUP($A26,'[20]1'!$A$5:$E$1048576,3,0),0)</f>
        <v/>
      </c>
      <c r="W26" s="86">
        <f>+IFERROR(VLOOKUP($A26,[21]Balance!$A$5:$E$1048576,3,0),0)</f>
        <v/>
      </c>
      <c r="X26" s="86">
        <f>+IFERROR(VLOOKUP($A26,'[22]1'!$A$5:$E$1048576,3,0),0)</f>
        <v/>
      </c>
      <c r="Y26" s="86">
        <f>+IFERROR(VLOOKUP($A26,[23]Лист1!$A$5:$E$1048576,3,0),0)</f>
        <v/>
      </c>
      <c r="Z26" s="86">
        <f>+IFERROR(VLOOKUP($A26,'[24]1'!$A$5:$E$1048576,3,0),0)</f>
        <v/>
      </c>
      <c r="AA26" s="86">
        <f>+IFERROR(VLOOKUP($A26,[25]Balance!$A$5:$E$1048576,3,0),0)</f>
        <v/>
      </c>
      <c r="AB26" s="86">
        <f>+IFERROR(VLOOKUP($A26,'[26]1'!$A$5:$E$1048576,3,0),0)</f>
        <v/>
      </c>
      <c r="AC26" s="86">
        <f>+IFERROR(VLOOKUP($A26,'[27]1'!$A$5:$E$1048576,3,0),0)</f>
        <v/>
      </c>
      <c r="AD26" s="86">
        <f>+IFERROR(VLOOKUP($A26,'[28]1'!$A$5:$E$1048576,3,0),0)</f>
        <v/>
      </c>
      <c r="AE26" s="86">
        <f>+IFERROR(VLOOKUP($A26,[29]Лист1!$A$5:$E$1048576,3,0),0)</f>
        <v/>
      </c>
      <c r="AF26" s="86">
        <f>+IFERROR(VLOOKUP($A26,'[30]1'!$A$5:$E$1048576,3,0),0)</f>
        <v/>
      </c>
      <c r="AG26" s="86">
        <f>+IFERROR(VLOOKUP($A26,'[31]1'!$A$5:$E$1048576,3,0),0)</f>
        <v/>
      </c>
      <c r="AH26" s="86">
        <f>+IFERROR(VLOOKUP($A26,'[32]1-жадвал'!$A$5:$E$1048576,3,0),0)</f>
        <v/>
      </c>
      <c r="AI26" s="248">
        <f>+IFERROR(VLOOKUP($A26,[33]Balance!$A$5:$E$1048576,3,0),0)</f>
        <v/>
      </c>
      <c r="AJ26" s="100">
        <f>+IFERROR(VLOOKUP($A26,[34]Balance!$A$5:$E$1048576,3,0),0)</f>
        <v/>
      </c>
      <c r="AK26" s="100">
        <f>+IFERROR(VLOOKUP($A26,'[35]1'!$A$5:$E$1048576,3,0),0)</f>
        <v/>
      </c>
    </row>
    <row r="27" ht="25.5" customHeight="1">
      <c r="A27" s="183" t="n">
        <v>9</v>
      </c>
      <c r="B27" s="87" t="inlineStr">
        <is>
          <t>Молиявий инструментлар бўйича мижозларнинг мажбуриятлари, соф</t>
        </is>
      </c>
      <c r="C27" s="86">
        <f>+IFERROR(VLOOKUP($A27,[1]Лист1!$A$5:$E$1048576,3,0),0)</f>
        <v/>
      </c>
      <c r="D27" s="86">
        <f>+IFERROR(VLOOKUP($A27,'[2]1'!$A$5:$E$1048576,3,0),0)</f>
        <v/>
      </c>
      <c r="E27" s="86">
        <f>+IFERROR(VLOOKUP($A27,'[3]1'!$A$5:$E$1048576,3,0),0)</f>
        <v/>
      </c>
      <c r="F27" s="86">
        <f>+IFERROR(VLOOKUP($A27,[4]Balance!$A$5:$E$1048576,3,0),0)</f>
        <v/>
      </c>
      <c r="G27" s="86">
        <f>+IFERROR(VLOOKUP($A27,'[5]1'!$A$5:$E$1048576,3,0),0)</f>
        <v/>
      </c>
      <c r="H27" s="86">
        <f>+IFERROR(VLOOKUP($A27,[6]Balance!$A$5:$E$1048576,3,0),0)</f>
        <v/>
      </c>
      <c r="I27" s="86">
        <f>+IFERROR(VLOOKUP($A27,[7]Balance!$A$5:$E$1048576,3,0),0)</f>
        <v/>
      </c>
      <c r="J27" s="86">
        <f>+IFERROR(VLOOKUP($A27,'[8]1'!$A$5:$E$1048576,3,0),0)</f>
        <v/>
      </c>
      <c r="K27" s="86">
        <f>+IFERROR(VLOOKUP($A27,'[9]1'!$A$5:$E$1048576,3,0),0)</f>
        <v/>
      </c>
      <c r="L27" s="86">
        <f>+IFERROR(VLOOKUP($A27,'[10]1'!$A$5:$E$1048576,3,0),0)</f>
        <v/>
      </c>
      <c r="M27" s="86">
        <f>+IFERROR(VLOOKUP($A27,'[11]1'!$A$5:$E$1048576,3,0),0)</f>
        <v/>
      </c>
      <c r="N27" s="86">
        <f>+IFERROR(VLOOKUP($A27,[12]Balance!$A$5:$E$1048576,3,0),0)</f>
        <v/>
      </c>
      <c r="O27" s="86">
        <f>+IFERROR(VLOOKUP($A27,'[13]1 т'!$A$5:$E$1048576,3,0),0)</f>
        <v/>
      </c>
      <c r="P27" s="86">
        <f>+IFERROR(VLOOKUP($A27,[14]Balance!$A$5:$E$1048576,3,0),0)</f>
        <v/>
      </c>
      <c r="Q27" s="86">
        <f>+IFERROR(VLOOKUP($A27,[15]Balance!$A$5:$E$1048576,3,0),0)</f>
        <v/>
      </c>
      <c r="R27" s="86">
        <f>+IFERROR(VLOOKUP($A27,'[16]1'!$A$5:$E$1048576,3,0),0)</f>
        <v/>
      </c>
      <c r="S27" s="86">
        <f>+IFERROR(VLOOKUP($A27,'[17]1'!$A$5:$E$1048576,3,0),0)</f>
        <v/>
      </c>
      <c r="T27" s="86">
        <f>+IFERROR(VLOOKUP($A27,'[18]1'!$A$5:$E$1048576,3,0),0)</f>
        <v/>
      </c>
      <c r="U27" s="86">
        <f>+IFERROR(VLOOKUP($A27,[19]Balans!$A$5:$E$1048576,3,0),0)</f>
        <v/>
      </c>
      <c r="V27" s="86">
        <f>+IFERROR(VLOOKUP($A27,'[20]1'!$A$5:$E$1048576,3,0),0)</f>
        <v/>
      </c>
      <c r="W27" s="86">
        <f>+IFERROR(VLOOKUP($A27,[21]Balance!$A$5:$E$1048576,3,0),0)</f>
        <v/>
      </c>
      <c r="X27" s="86">
        <f>+IFERROR(VLOOKUP($A27,'[22]1'!$A$5:$E$1048576,3,0),0)</f>
        <v/>
      </c>
      <c r="Y27" s="86">
        <f>+IFERROR(VLOOKUP($A27,[23]Лист1!$A$5:$E$1048576,3,0),0)</f>
        <v/>
      </c>
      <c r="Z27" s="86">
        <f>+IFERROR(VLOOKUP($A27,'[24]1'!$A$5:$E$1048576,3,0),0)</f>
        <v/>
      </c>
      <c r="AA27" s="86">
        <f>+IFERROR(VLOOKUP($A27,[25]Balance!$A$5:$E$1048576,3,0),0)</f>
        <v/>
      </c>
      <c r="AB27" s="86">
        <f>+IFERROR(VLOOKUP($A27,'[26]1'!$A$5:$E$1048576,3,0),0)</f>
        <v/>
      </c>
      <c r="AC27" s="86">
        <f>+IFERROR(VLOOKUP($A27,'[27]1'!$A$5:$E$1048576,3,0),0)</f>
        <v/>
      </c>
      <c r="AD27" s="86">
        <f>+IFERROR(VLOOKUP($A27,'[28]1'!$A$5:$E$1048576,3,0),0)</f>
        <v/>
      </c>
      <c r="AE27" s="86">
        <f>+IFERROR(VLOOKUP($A27,[29]Лист1!$A$5:$E$1048576,3,0),0)</f>
        <v/>
      </c>
      <c r="AF27" s="86">
        <f>+IFERROR(VLOOKUP($A27,'[30]1'!$A$5:$E$1048576,3,0),0)</f>
        <v/>
      </c>
      <c r="AG27" s="86">
        <f>+IFERROR(VLOOKUP($A27,'[31]1'!$A$5:$E$1048576,3,0),0)</f>
        <v/>
      </c>
      <c r="AH27" s="86">
        <f>+IFERROR(VLOOKUP($A27,'[32]1-жадвал'!$A$5:$E$1048576,3,0),0)</f>
        <v/>
      </c>
      <c r="AI27" s="248">
        <f>+IFERROR(VLOOKUP($A27,[33]Balance!$A$5:$E$1048576,3,0),0)</f>
        <v/>
      </c>
      <c r="AJ27" s="100">
        <f>+IFERROR(VLOOKUP($A27,[34]Balance!$A$5:$E$1048576,3,0),0)</f>
        <v/>
      </c>
      <c r="AK27" s="100">
        <f>+IFERROR(VLOOKUP($A27,'[35]1'!$A$5:$E$1048576,3,0),0)</f>
        <v/>
      </c>
    </row>
    <row r="28" ht="25.5" customHeight="1">
      <c r="A28" s="183" t="inlineStr">
        <is>
          <t>9.1</t>
        </is>
      </c>
      <c r="B28" s="87" t="inlineStr">
        <is>
          <t>Молиявий инструментлар бўйича мижозларнинг мажбуриятлари, брутто</t>
        </is>
      </c>
      <c r="C28" s="86">
        <f>+IFERROR(VLOOKUP($A28,[1]Лист1!$A$5:$E$1048576,3,0),0)</f>
        <v/>
      </c>
      <c r="D28" s="86">
        <f>+IFERROR(VLOOKUP($A28,'[2]1'!$A$5:$E$1048576,3,0),0)</f>
        <v/>
      </c>
      <c r="E28" s="86">
        <f>+IFERROR(VLOOKUP($A28,'[3]1'!$A$5:$E$1048576,3,0),0)</f>
        <v/>
      </c>
      <c r="F28" s="86">
        <f>+IFERROR(VLOOKUP($A28,[4]Balance!$A$5:$E$1048576,3,0),0)</f>
        <v/>
      </c>
      <c r="G28" s="86">
        <f>+IFERROR(VLOOKUP($A28,'[5]1'!$A$5:$E$1048576,3,0),0)</f>
        <v/>
      </c>
      <c r="H28" s="86">
        <f>+IFERROR(VLOOKUP($A28,[6]Balance!$A$5:$E$1048576,3,0),0)</f>
        <v/>
      </c>
      <c r="I28" s="86">
        <f>+IFERROR(VLOOKUP($A28,[7]Balance!$A$5:$E$1048576,3,0),0)</f>
        <v/>
      </c>
      <c r="J28" s="86">
        <f>+IFERROR(VLOOKUP($A28,'[8]1'!$A$5:$E$1048576,3,0),0)</f>
        <v/>
      </c>
      <c r="K28" s="86">
        <f>+IFERROR(VLOOKUP($A28,'[9]1'!$A$5:$E$1048576,3,0),0)</f>
        <v/>
      </c>
      <c r="L28" s="86">
        <f>+IFERROR(VLOOKUP($A28,'[10]1'!$A$5:$E$1048576,3,0),0)</f>
        <v/>
      </c>
      <c r="M28" s="86">
        <f>+IFERROR(VLOOKUP($A28,'[11]1'!$A$5:$E$1048576,3,0),0)</f>
        <v/>
      </c>
      <c r="N28" s="86">
        <f>+IFERROR(VLOOKUP($A28,[12]Balance!$A$5:$E$1048576,3,0),0)</f>
        <v/>
      </c>
      <c r="O28" s="86">
        <f>+IFERROR(VLOOKUP($A28,'[13]1 т'!$A$5:$E$1048576,3,0),0)</f>
        <v/>
      </c>
      <c r="P28" s="86">
        <f>+IFERROR(VLOOKUP($A28,[14]Balance!$A$5:$E$1048576,3,0),0)</f>
        <v/>
      </c>
      <c r="Q28" s="86">
        <f>+IFERROR(VLOOKUP($A28,[15]Balance!$A$5:$E$1048576,3,0),0)</f>
        <v/>
      </c>
      <c r="R28" s="86">
        <f>+IFERROR(VLOOKUP($A28,'[16]1'!$A$5:$E$1048576,3,0),0)</f>
        <v/>
      </c>
      <c r="S28" s="86">
        <f>+IFERROR(VLOOKUP($A28,'[17]1'!$A$5:$E$1048576,3,0),0)</f>
        <v/>
      </c>
      <c r="T28" s="86">
        <f>+IFERROR(VLOOKUP($A28,'[18]1'!$A$5:$E$1048576,3,0),0)</f>
        <v/>
      </c>
      <c r="U28" s="86">
        <f>+IFERROR(VLOOKUP($A28,[19]Balans!$A$5:$E$1048576,3,0),0)</f>
        <v/>
      </c>
      <c r="V28" s="86">
        <f>+IFERROR(VLOOKUP($A28,'[20]1'!$A$5:$E$1048576,3,0),0)</f>
        <v/>
      </c>
      <c r="W28" s="86">
        <f>+IFERROR(VLOOKUP($A28,[21]Balance!$A$5:$E$1048576,3,0),0)</f>
        <v/>
      </c>
      <c r="X28" s="86">
        <f>+IFERROR(VLOOKUP($A28,'[22]1'!$A$5:$E$1048576,3,0),0)</f>
        <v/>
      </c>
      <c r="Y28" s="86">
        <f>+IFERROR(VLOOKUP($A28,[23]Лист1!$A$5:$E$1048576,3,0),0)</f>
        <v/>
      </c>
      <c r="Z28" s="86">
        <f>+IFERROR(VLOOKUP($A28,'[24]1'!$A$5:$E$1048576,3,0),0)</f>
        <v/>
      </c>
      <c r="AA28" s="86">
        <f>+IFERROR(VLOOKUP($A28,[25]Balance!$A$5:$E$1048576,3,0),0)</f>
        <v/>
      </c>
      <c r="AB28" s="86">
        <f>+IFERROR(VLOOKUP($A28,'[26]1'!$A$5:$E$1048576,3,0),0)</f>
        <v/>
      </c>
      <c r="AC28" s="86">
        <f>+IFERROR(VLOOKUP($A28,'[27]1'!$A$5:$E$1048576,3,0),0)</f>
        <v/>
      </c>
      <c r="AD28" s="86">
        <f>+IFERROR(VLOOKUP($A28,'[28]1'!$A$5:$E$1048576,3,0),0)</f>
        <v/>
      </c>
      <c r="AE28" s="86">
        <f>+IFERROR(VLOOKUP($A28,[29]Лист1!$A$5:$E$1048576,3,0),0)</f>
        <v/>
      </c>
      <c r="AF28" s="86">
        <f>+IFERROR(VLOOKUP($A28,'[30]1'!$A$5:$E$1048576,3,0),0)</f>
        <v/>
      </c>
      <c r="AG28" s="86">
        <f>+IFERROR(VLOOKUP($A28,'[31]1'!$A$5:$E$1048576,3,0),0)</f>
        <v/>
      </c>
      <c r="AH28" s="86">
        <f>+IFERROR(VLOOKUP($A28,'[32]1-жадвал'!$A$5:$E$1048576,3,0),0)</f>
        <v/>
      </c>
      <c r="AI28" s="248">
        <f>+IFERROR(VLOOKUP($A28,[33]Balance!$A$5:$E$1048576,3,0),0)</f>
        <v/>
      </c>
      <c r="AJ28" s="100">
        <f>+IFERROR(VLOOKUP($A28,[34]Balance!$A$5:$E$1048576,3,0),0)</f>
        <v/>
      </c>
      <c r="AK28" s="100">
        <f>+IFERROR(VLOOKUP($A28,'[35]1'!$A$5:$E$1048576,3,0),0)</f>
        <v/>
      </c>
    </row>
    <row r="29" ht="25.5" customHeight="1">
      <c r="A29" s="183" t="inlineStr">
        <is>
          <t>9.2</t>
        </is>
      </c>
      <c r="B29" s="87" t="inlineStr">
        <is>
          <t>Минус: Кўрилиши мумкин бўлган зарарларни қоплаш захираси</t>
        </is>
      </c>
      <c r="C29" s="86">
        <f>+IFERROR(VLOOKUP($A29,[1]Лист1!$A$5:$E$1048576,3,0),0)</f>
        <v/>
      </c>
      <c r="D29" s="86">
        <f>+IFERROR(VLOOKUP($A29,'[2]1'!$A$5:$E$1048576,3,0),0)</f>
        <v/>
      </c>
      <c r="E29" s="86">
        <f>+IFERROR(VLOOKUP($A29,'[3]1'!$A$5:$E$1048576,3,0),0)</f>
        <v/>
      </c>
      <c r="F29" s="86">
        <f>+IFERROR(VLOOKUP($A29,[4]Balance!$A$5:$E$1048576,3,0),0)</f>
        <v/>
      </c>
      <c r="G29" s="86">
        <f>+IFERROR(VLOOKUP($A29,'[5]1'!$A$5:$E$1048576,3,0),0)</f>
        <v/>
      </c>
      <c r="H29" s="86">
        <f>+IFERROR(VLOOKUP($A29,[6]Balance!$A$5:$E$1048576,3,0),0)</f>
        <v/>
      </c>
      <c r="I29" s="86">
        <f>+IFERROR(VLOOKUP($A29,[7]Balance!$A$5:$E$1048576,3,0),0)</f>
        <v/>
      </c>
      <c r="J29" s="86">
        <f>+IFERROR(VLOOKUP($A29,'[8]1'!$A$5:$E$1048576,3,0),0)</f>
        <v/>
      </c>
      <c r="K29" s="86">
        <f>+IFERROR(VLOOKUP($A29,'[9]1'!$A$5:$E$1048576,3,0),0)</f>
        <v/>
      </c>
      <c r="L29" s="86">
        <f>+IFERROR(VLOOKUP($A29,'[10]1'!$A$5:$E$1048576,3,0),0)</f>
        <v/>
      </c>
      <c r="M29" s="86">
        <f>+IFERROR(VLOOKUP($A29,'[11]1'!$A$5:$E$1048576,3,0),0)</f>
        <v/>
      </c>
      <c r="N29" s="86">
        <f>+IFERROR(VLOOKUP($A29,[12]Balance!$A$5:$E$1048576,3,0),0)</f>
        <v/>
      </c>
      <c r="O29" s="86">
        <f>+IFERROR(VLOOKUP($A29,'[13]1 т'!$A$5:$E$1048576,3,0),0)</f>
        <v/>
      </c>
      <c r="P29" s="86">
        <f>+IFERROR(VLOOKUP($A29,[14]Balance!$A$5:$E$1048576,3,0),0)</f>
        <v/>
      </c>
      <c r="Q29" s="86">
        <f>+IFERROR(VLOOKUP($A29,[15]Balance!$A$5:$E$1048576,3,0),0)</f>
        <v/>
      </c>
      <c r="R29" s="86">
        <f>+IFERROR(VLOOKUP($A29,'[16]1'!$A$5:$E$1048576,3,0),0)</f>
        <v/>
      </c>
      <c r="S29" s="86">
        <f>+IFERROR(VLOOKUP($A29,'[17]1'!$A$5:$E$1048576,3,0),0)</f>
        <v/>
      </c>
      <c r="T29" s="86">
        <f>+IFERROR(VLOOKUP($A29,'[18]1'!$A$5:$E$1048576,3,0),0)</f>
        <v/>
      </c>
      <c r="U29" s="86">
        <f>+IFERROR(VLOOKUP($A29,[19]Balans!$A$5:$E$1048576,3,0),0)</f>
        <v/>
      </c>
      <c r="V29" s="86">
        <f>+IFERROR(VLOOKUP($A29,'[20]1'!$A$5:$E$1048576,3,0),0)</f>
        <v/>
      </c>
      <c r="W29" s="86">
        <f>+IFERROR(VLOOKUP($A29,[21]Balance!$A$5:$E$1048576,3,0),0)</f>
        <v/>
      </c>
      <c r="X29" s="86">
        <f>+IFERROR(VLOOKUP($A29,'[22]1'!$A$5:$E$1048576,3,0),0)</f>
        <v/>
      </c>
      <c r="Y29" s="86">
        <f>+IFERROR(VLOOKUP($A29,[23]Лист1!$A$5:$E$1048576,3,0),0)</f>
        <v/>
      </c>
      <c r="Z29" s="86">
        <f>+IFERROR(VLOOKUP($A29,'[24]1'!$A$5:$E$1048576,3,0),0)</f>
        <v/>
      </c>
      <c r="AA29" s="86">
        <f>+IFERROR(VLOOKUP($A29,[25]Balance!$A$5:$E$1048576,3,0),0)</f>
        <v/>
      </c>
      <c r="AB29" s="86">
        <f>+IFERROR(VLOOKUP($A29,'[26]1'!$A$5:$E$1048576,3,0),0)</f>
        <v/>
      </c>
      <c r="AC29" s="86">
        <f>+IFERROR(VLOOKUP($A29,'[27]1'!$A$5:$E$1048576,3,0),0)</f>
        <v/>
      </c>
      <c r="AD29" s="86">
        <f>+IFERROR(VLOOKUP($A29,'[28]1'!$A$5:$E$1048576,3,0),0)</f>
        <v/>
      </c>
      <c r="AE29" s="86">
        <f>+IFERROR(VLOOKUP($A29,[29]Лист1!$A$5:$E$1048576,3,0),0)</f>
        <v/>
      </c>
      <c r="AF29" s="86">
        <f>+IFERROR(VLOOKUP($A29,'[30]1'!$A$5:$E$1048576,3,0),0)</f>
        <v/>
      </c>
      <c r="AG29" s="86">
        <f>+IFERROR(VLOOKUP($A29,'[31]1'!$A$5:$E$1048576,3,0),0)</f>
        <v/>
      </c>
      <c r="AH29" s="86">
        <f>+IFERROR(VLOOKUP($A29,'[32]1-жадвал'!$A$5:$E$1048576,3,0),0)</f>
        <v/>
      </c>
      <c r="AI29" s="248">
        <f>+IFERROR(VLOOKUP($A29,[33]Balance!$A$5:$E$1048576,3,0),0)</f>
        <v/>
      </c>
      <c r="AJ29" s="100">
        <f>+IFERROR(VLOOKUP($A29,[34]Balance!$A$5:$E$1048576,3,0),0)</f>
        <v/>
      </c>
      <c r="AK29" s="100">
        <f>+IFERROR(VLOOKUP($A29,'[35]1'!$A$5:$E$1048576,3,0),0)</f>
        <v/>
      </c>
    </row>
    <row r="30">
      <c r="A30" s="183" t="n">
        <v>10</v>
      </c>
      <c r="B30" s="87" t="inlineStr">
        <is>
          <t>Асосий воситалар, соф</t>
        </is>
      </c>
      <c r="C30" s="86">
        <f>+IFERROR(VLOOKUP($A30,[1]Лист1!$A$5:$E$1048576,3,0),0)</f>
        <v/>
      </c>
      <c r="D30" s="86">
        <f>+IFERROR(VLOOKUP($A30,'[2]1'!$A$5:$E$1048576,3,0),0)</f>
        <v/>
      </c>
      <c r="E30" s="86">
        <f>+IFERROR(VLOOKUP($A30,'[3]1'!$A$5:$E$1048576,3,0),0)</f>
        <v/>
      </c>
      <c r="F30" s="86">
        <f>+IFERROR(VLOOKUP($A30,[4]Balance!$A$5:$E$1048576,3,0),0)</f>
        <v/>
      </c>
      <c r="G30" s="86">
        <f>+IFERROR(VLOOKUP($A30,'[5]1'!$A$5:$E$1048576,3,0),0)</f>
        <v/>
      </c>
      <c r="H30" s="86">
        <f>+IFERROR(VLOOKUP($A30,[6]Balance!$A$5:$E$1048576,3,0),0)</f>
        <v/>
      </c>
      <c r="I30" s="86">
        <f>+IFERROR(VLOOKUP($A30,[7]Balance!$A$5:$E$1048576,3,0),0)</f>
        <v/>
      </c>
      <c r="J30" s="86">
        <f>+IFERROR(VLOOKUP($A30,'[8]1'!$A$5:$E$1048576,3,0),0)</f>
        <v/>
      </c>
      <c r="K30" s="86">
        <f>+IFERROR(VLOOKUP($A30,'[9]1'!$A$5:$E$1048576,3,0),0)</f>
        <v/>
      </c>
      <c r="L30" s="86">
        <f>+IFERROR(VLOOKUP($A30,'[10]1'!$A$5:$E$1048576,3,0),0)</f>
        <v/>
      </c>
      <c r="M30" s="86">
        <f>+IFERROR(VLOOKUP($A30,'[11]1'!$A$5:$E$1048576,3,0),0)</f>
        <v/>
      </c>
      <c r="N30" s="86">
        <f>+IFERROR(VLOOKUP($A30,[12]Balance!$A$5:$E$1048576,3,0),0)</f>
        <v/>
      </c>
      <c r="O30" s="86">
        <f>+IFERROR(VLOOKUP($A30,'[13]1 т'!$A$5:$E$1048576,3,0),0)</f>
        <v/>
      </c>
      <c r="P30" s="86">
        <f>+IFERROR(VLOOKUP($A30,[14]Balance!$A$5:$E$1048576,3,0),0)</f>
        <v/>
      </c>
      <c r="Q30" s="86">
        <f>+IFERROR(VLOOKUP($A30,[15]Balance!$A$5:$E$1048576,3,0),0)</f>
        <v/>
      </c>
      <c r="R30" s="86">
        <f>+IFERROR(VLOOKUP($A30,'[16]1'!$A$5:$E$1048576,3,0),0)</f>
        <v/>
      </c>
      <c r="S30" s="86">
        <f>+IFERROR(VLOOKUP($A30,'[17]1'!$A$5:$E$1048576,3,0),0)</f>
        <v/>
      </c>
      <c r="T30" s="86">
        <f>+IFERROR(VLOOKUP($A30,'[18]1'!$A$5:$E$1048576,3,0),0)</f>
        <v/>
      </c>
      <c r="U30" s="86">
        <f>+IFERROR(VLOOKUP($A30,[19]Balans!$A$5:$E$1048576,3,0),0)</f>
        <v/>
      </c>
      <c r="V30" s="86">
        <f>+IFERROR(VLOOKUP($A30,'[20]1'!$A$5:$E$1048576,3,0),0)</f>
        <v/>
      </c>
      <c r="W30" s="86">
        <f>+IFERROR(VLOOKUP($A30,[21]Balance!$A$5:$E$1048576,3,0),0)</f>
        <v/>
      </c>
      <c r="X30" s="86">
        <f>+IFERROR(VLOOKUP($A30,'[22]1'!$A$5:$E$1048576,3,0),0)</f>
        <v/>
      </c>
      <c r="Y30" s="86">
        <f>+IFERROR(VLOOKUP($A30,[23]Лист1!$A$5:$E$1048576,3,0),0)</f>
        <v/>
      </c>
      <c r="Z30" s="86">
        <f>+IFERROR(VLOOKUP($A30,'[24]1'!$A$5:$E$1048576,3,0),0)</f>
        <v/>
      </c>
      <c r="AA30" s="86">
        <f>+IFERROR(VLOOKUP($A30,[25]Balance!$A$5:$E$1048576,3,0),0)</f>
        <v/>
      </c>
      <c r="AB30" s="86">
        <f>+IFERROR(VLOOKUP($A30,'[26]1'!$A$5:$E$1048576,3,0),0)</f>
        <v/>
      </c>
      <c r="AC30" s="86">
        <f>+IFERROR(VLOOKUP($A30,'[27]1'!$A$5:$E$1048576,3,0),0)</f>
        <v/>
      </c>
      <c r="AD30" s="86">
        <f>+IFERROR(VLOOKUP($A30,'[28]1'!$A$5:$E$1048576,3,0),0)</f>
        <v/>
      </c>
      <c r="AE30" s="86">
        <f>+IFERROR(VLOOKUP($A30,[29]Лист1!$A$5:$E$1048576,3,0),0)</f>
        <v/>
      </c>
      <c r="AF30" s="86">
        <f>+IFERROR(VLOOKUP($A30,'[30]1'!$A$5:$E$1048576,3,0),0)</f>
        <v/>
      </c>
      <c r="AG30" s="86">
        <f>+IFERROR(VLOOKUP($A30,'[31]1'!$A$5:$E$1048576,3,0),0)</f>
        <v/>
      </c>
      <c r="AH30" s="86">
        <f>+IFERROR(VLOOKUP($A30,'[32]1-жадвал'!$A$5:$E$1048576,3,0),0)</f>
        <v/>
      </c>
      <c r="AI30" s="248">
        <f>+IFERROR(VLOOKUP($A30,[33]Balance!$A$5:$E$1048576,3,0),0)</f>
        <v/>
      </c>
      <c r="AJ30" s="100">
        <f>+IFERROR(VLOOKUP($A30,[34]Balance!$A$5:$E$1048576,3,0),0)</f>
        <v/>
      </c>
      <c r="AK30" s="100">
        <f>+IFERROR(VLOOKUP($A30,'[35]1'!$A$5:$E$1048576,3,0),0)</f>
        <v/>
      </c>
    </row>
    <row r="31">
      <c r="A31" s="183" t="n">
        <v>11</v>
      </c>
      <c r="B31" s="87" t="inlineStr">
        <is>
          <t>Жами ҳисобланган фоизли ва фоизсиз даромадлар, соф</t>
        </is>
      </c>
      <c r="C31" s="86">
        <f>+IFERROR(VLOOKUP($A31,[1]Лист1!$A$5:$E$1048576,3,0),0)</f>
        <v/>
      </c>
      <c r="D31" s="86">
        <f>+IFERROR(VLOOKUP($A31,'[2]1'!$A$5:$E$1048576,3,0),0)</f>
        <v/>
      </c>
      <c r="E31" s="86">
        <f>+IFERROR(VLOOKUP($A31,'[3]1'!$A$5:$E$1048576,3,0),0)</f>
        <v/>
      </c>
      <c r="F31" s="86">
        <f>+IFERROR(VLOOKUP($A31,[4]Balance!$A$5:$E$1048576,3,0),0)</f>
        <v/>
      </c>
      <c r="G31" s="86">
        <f>+IFERROR(VLOOKUP($A31,'[5]1'!$A$5:$E$1048576,3,0),0)</f>
        <v/>
      </c>
      <c r="H31" s="86">
        <f>+IFERROR(VLOOKUP($A31,[6]Balance!$A$5:$E$1048576,3,0),0)</f>
        <v/>
      </c>
      <c r="I31" s="86">
        <f>+IFERROR(VLOOKUP($A31,[7]Balance!$A$5:$E$1048576,3,0),0)</f>
        <v/>
      </c>
      <c r="J31" s="86">
        <f>+IFERROR(VLOOKUP($A31,'[8]1'!$A$5:$E$1048576,3,0),0)</f>
        <v/>
      </c>
      <c r="K31" s="86">
        <f>+IFERROR(VLOOKUP($A31,'[9]1'!$A$5:$E$1048576,3,0),0)</f>
        <v/>
      </c>
      <c r="L31" s="86">
        <f>+IFERROR(VLOOKUP($A31,'[10]1'!$A$5:$E$1048576,3,0),0)</f>
        <v/>
      </c>
      <c r="M31" s="86">
        <f>+IFERROR(VLOOKUP($A31,'[11]1'!$A$5:$E$1048576,3,0),0)</f>
        <v/>
      </c>
      <c r="N31" s="86">
        <f>+IFERROR(VLOOKUP($A31,[12]Balance!$A$5:$E$1048576,3,0),0)</f>
        <v/>
      </c>
      <c r="O31" s="86">
        <f>+IFERROR(VLOOKUP($A31,'[13]1 т'!$A$5:$E$1048576,3,0),0)</f>
        <v/>
      </c>
      <c r="P31" s="86">
        <f>+IFERROR(VLOOKUP($A31,[14]Balance!$A$5:$E$1048576,3,0),0)</f>
        <v/>
      </c>
      <c r="Q31" s="86">
        <f>+IFERROR(VLOOKUP($A31,[15]Balance!$A$5:$E$1048576,3,0),0)</f>
        <v/>
      </c>
      <c r="R31" s="86">
        <f>+IFERROR(VLOOKUP($A31,'[16]1'!$A$5:$E$1048576,3,0),0)</f>
        <v/>
      </c>
      <c r="S31" s="86">
        <f>+IFERROR(VLOOKUP($A31,'[17]1'!$A$5:$E$1048576,3,0),0)</f>
        <v/>
      </c>
      <c r="T31" s="86">
        <f>+IFERROR(VLOOKUP($A31,'[18]1'!$A$5:$E$1048576,3,0),0)</f>
        <v/>
      </c>
      <c r="U31" s="86">
        <f>+IFERROR(VLOOKUP($A31,[19]Balans!$A$5:$E$1048576,3,0),0)</f>
        <v/>
      </c>
      <c r="V31" s="86">
        <f>+IFERROR(VLOOKUP($A31,'[20]1'!$A$5:$E$1048576,3,0),0)</f>
        <v/>
      </c>
      <c r="W31" s="86">
        <f>+IFERROR(VLOOKUP($A31,[21]Balance!$A$5:$E$1048576,3,0),0)</f>
        <v/>
      </c>
      <c r="X31" s="86">
        <f>+IFERROR(VLOOKUP($A31,'[22]1'!$A$5:$E$1048576,3,0),0)</f>
        <v/>
      </c>
      <c r="Y31" s="86">
        <f>+IFERROR(VLOOKUP($A31,[23]Лист1!$A$5:$E$1048576,3,0),0)</f>
        <v/>
      </c>
      <c r="Z31" s="86">
        <f>+IFERROR(VLOOKUP($A31,'[24]1'!$A$5:$E$1048576,3,0),0)</f>
        <v/>
      </c>
      <c r="AA31" s="86">
        <f>+IFERROR(VLOOKUP($A31,[25]Balance!$A$5:$E$1048576,3,0),0)</f>
        <v/>
      </c>
      <c r="AB31" s="86">
        <f>+IFERROR(VLOOKUP($A31,'[26]1'!$A$5:$E$1048576,3,0),0)</f>
        <v/>
      </c>
      <c r="AC31" s="86">
        <f>+IFERROR(VLOOKUP($A31,'[27]1'!$A$5:$E$1048576,3,0),0)</f>
        <v/>
      </c>
      <c r="AD31" s="86">
        <f>+IFERROR(VLOOKUP($A31,'[28]1'!$A$5:$E$1048576,3,0),0)</f>
        <v/>
      </c>
      <c r="AE31" s="86">
        <f>+IFERROR(VLOOKUP($A31,[29]Лист1!$A$5:$E$1048576,3,0),0)</f>
        <v/>
      </c>
      <c r="AF31" s="86">
        <f>+IFERROR(VLOOKUP($A31,'[30]1'!$A$5:$E$1048576,3,0),0)</f>
        <v/>
      </c>
      <c r="AG31" s="86">
        <f>+IFERROR(VLOOKUP($A31,'[31]1'!$A$5:$E$1048576,3,0),0)</f>
        <v/>
      </c>
      <c r="AH31" s="86">
        <f>+IFERROR(VLOOKUP($A31,'[32]1-жадвал'!$A$5:$E$1048576,3,0),0)</f>
        <v/>
      </c>
      <c r="AI31" s="248">
        <f>+IFERROR(VLOOKUP($A31,[33]Balance!$A$5:$E$1048576,3,0),0)</f>
        <v/>
      </c>
      <c r="AJ31" s="100">
        <f>+IFERROR(VLOOKUP($A31,[34]Balance!$A$5:$E$1048576,3,0),0)</f>
        <v/>
      </c>
      <c r="AK31" s="100">
        <f>+IFERROR(VLOOKUP($A31,'[35]1'!$A$5:$E$1048576,3,0),0)</f>
        <v/>
      </c>
    </row>
    <row r="32">
      <c r="A32" s="183" t="inlineStr">
        <is>
          <t>11.1</t>
        </is>
      </c>
      <c r="B32" s="87" t="inlineStr">
        <is>
          <t>Ҳисобланган фоизли даромадлар, брутто</t>
        </is>
      </c>
      <c r="C32" s="86">
        <f>+IFERROR(VLOOKUP($A32,[1]Лист1!$A$5:$E$1048576,3,0),0)</f>
        <v/>
      </c>
      <c r="D32" s="86">
        <f>+IFERROR(VLOOKUP($A32,'[2]1'!$A$5:$E$1048576,3,0),0)</f>
        <v/>
      </c>
      <c r="E32" s="86">
        <f>+IFERROR(VLOOKUP($A32,'[3]1'!$A$5:$E$1048576,3,0),0)</f>
        <v/>
      </c>
      <c r="F32" s="86">
        <f>+IFERROR(VLOOKUP($A32,[4]Balance!$A$5:$E$1048576,3,0),0)</f>
        <v/>
      </c>
      <c r="G32" s="86">
        <f>+IFERROR(VLOOKUP($A32,'[5]1'!$A$5:$E$1048576,3,0),0)</f>
        <v/>
      </c>
      <c r="H32" s="86">
        <f>+IFERROR(VLOOKUP($A32,[6]Balance!$A$5:$E$1048576,3,0),0)</f>
        <v/>
      </c>
      <c r="I32" s="86">
        <f>+IFERROR(VLOOKUP($A32,[7]Balance!$A$5:$E$1048576,3,0),0)</f>
        <v/>
      </c>
      <c r="J32" s="86">
        <f>+IFERROR(VLOOKUP($A32,'[8]1'!$A$5:$E$1048576,3,0),0)</f>
        <v/>
      </c>
      <c r="K32" s="86">
        <f>+IFERROR(VLOOKUP($A32,'[9]1'!$A$5:$E$1048576,3,0),0)</f>
        <v/>
      </c>
      <c r="L32" s="86">
        <f>+IFERROR(VLOOKUP($A32,'[10]1'!$A$5:$E$1048576,3,0),0)</f>
        <v/>
      </c>
      <c r="M32" s="86">
        <f>+IFERROR(VLOOKUP($A32,'[11]1'!$A$5:$E$1048576,3,0),0)</f>
        <v/>
      </c>
      <c r="N32" s="86">
        <f>+IFERROR(VLOOKUP($A32,[12]Balance!$A$5:$E$1048576,3,0),0)</f>
        <v/>
      </c>
      <c r="O32" s="86">
        <f>+IFERROR(VLOOKUP($A32,'[13]1 т'!$A$5:$E$1048576,3,0),0)</f>
        <v/>
      </c>
      <c r="P32" s="86">
        <f>+IFERROR(VLOOKUP($A32,[14]Balance!$A$5:$E$1048576,3,0),0)</f>
        <v/>
      </c>
      <c r="Q32" s="86">
        <f>+IFERROR(VLOOKUP($A32,[15]Balance!$A$5:$E$1048576,3,0),0)</f>
        <v/>
      </c>
      <c r="R32" s="86">
        <f>+IFERROR(VLOOKUP($A32,'[16]1'!$A$5:$E$1048576,3,0),0)</f>
        <v/>
      </c>
      <c r="S32" s="86">
        <f>+IFERROR(VLOOKUP($A32,'[17]1'!$A$5:$E$1048576,3,0),0)</f>
        <v/>
      </c>
      <c r="T32" s="86">
        <f>+IFERROR(VLOOKUP($A32,'[18]1'!$A$5:$E$1048576,3,0),0)</f>
        <v/>
      </c>
      <c r="U32" s="86">
        <f>+IFERROR(VLOOKUP($A32,[19]Balans!$A$5:$E$1048576,3,0),0)</f>
        <v/>
      </c>
      <c r="V32" s="86">
        <f>+IFERROR(VLOOKUP($A32,'[20]1'!$A$5:$E$1048576,3,0),0)</f>
        <v/>
      </c>
      <c r="W32" s="86">
        <f>+IFERROR(VLOOKUP($A32,[21]Balance!$A$5:$E$1048576,3,0),0)</f>
        <v/>
      </c>
      <c r="X32" s="86">
        <f>+IFERROR(VLOOKUP($A32,'[22]1'!$A$5:$E$1048576,3,0),0)</f>
        <v/>
      </c>
      <c r="Y32" s="86">
        <f>+IFERROR(VLOOKUP($A32,[23]Лист1!$A$5:$E$1048576,3,0),0)</f>
        <v/>
      </c>
      <c r="Z32" s="86">
        <f>+IFERROR(VLOOKUP($A32,'[24]1'!$A$5:$E$1048576,3,0),0)</f>
        <v/>
      </c>
      <c r="AA32" s="86">
        <f>+IFERROR(VLOOKUP($A32,[25]Balance!$A$5:$E$1048576,3,0),0)</f>
        <v/>
      </c>
      <c r="AB32" s="86">
        <f>+IFERROR(VLOOKUP($A32,'[26]1'!$A$5:$E$1048576,3,0),0)</f>
        <v/>
      </c>
      <c r="AC32" s="86">
        <f>+IFERROR(VLOOKUP($A32,'[27]1'!$A$5:$E$1048576,3,0),0)</f>
        <v/>
      </c>
      <c r="AD32" s="86">
        <f>+IFERROR(VLOOKUP($A32,'[28]1'!$A$5:$E$1048576,3,0),0)</f>
        <v/>
      </c>
      <c r="AE32" s="86">
        <f>+IFERROR(VLOOKUP($A32,[29]Лист1!$A$5:$E$1048576,3,0),0)</f>
        <v/>
      </c>
      <c r="AF32" s="86">
        <f>+IFERROR(VLOOKUP($A32,'[30]1'!$A$5:$E$1048576,3,0),0)</f>
        <v/>
      </c>
      <c r="AG32" s="86">
        <f>+IFERROR(VLOOKUP($A32,'[31]1'!$A$5:$E$1048576,3,0),0)</f>
        <v/>
      </c>
      <c r="AH32" s="86">
        <f>+IFERROR(VLOOKUP($A32,'[32]1-жадвал'!$A$5:$E$1048576,3,0),0)</f>
        <v/>
      </c>
      <c r="AI32" s="248">
        <f>+IFERROR(VLOOKUP($A32,[33]Balance!$A$5:$E$1048576,3,0),0)</f>
        <v/>
      </c>
      <c r="AJ32" s="100">
        <f>+IFERROR(VLOOKUP($A32,[34]Balance!$A$5:$E$1048576,3,0),0)</f>
        <v/>
      </c>
      <c r="AK32" s="100">
        <f>+IFERROR(VLOOKUP($A32,'[35]1'!$A$5:$E$1048576,3,0),0)</f>
        <v/>
      </c>
    </row>
    <row r="33">
      <c r="A33" s="183" t="inlineStr">
        <is>
          <t>11.2</t>
        </is>
      </c>
      <c r="B33" s="87" t="inlineStr">
        <is>
          <t>Ҳисобланган фоизсиз даромадлар, брутто</t>
        </is>
      </c>
      <c r="C33" s="86">
        <f>+IFERROR(VLOOKUP($A33,[1]Лист1!$A$5:$E$1048576,3,0),0)</f>
        <v/>
      </c>
      <c r="D33" s="86">
        <f>+IFERROR(VLOOKUP($A33,'[2]1'!$A$5:$E$1048576,3,0),0)</f>
        <v/>
      </c>
      <c r="E33" s="86">
        <f>+IFERROR(VLOOKUP($A33,'[3]1'!$A$5:$E$1048576,3,0),0)</f>
        <v/>
      </c>
      <c r="F33" s="86">
        <f>+IFERROR(VLOOKUP($A33,[4]Balance!$A$5:$E$1048576,3,0),0)</f>
        <v/>
      </c>
      <c r="G33" s="86">
        <f>+IFERROR(VLOOKUP($A33,'[5]1'!$A$5:$E$1048576,3,0),0)</f>
        <v/>
      </c>
      <c r="H33" s="86">
        <f>+IFERROR(VLOOKUP($A33,[6]Balance!$A$5:$E$1048576,3,0),0)</f>
        <v/>
      </c>
      <c r="I33" s="86">
        <f>+IFERROR(VLOOKUP($A33,[7]Balance!$A$5:$E$1048576,3,0),0)</f>
        <v/>
      </c>
      <c r="J33" s="86">
        <f>+IFERROR(VLOOKUP($A33,'[8]1'!$A$5:$E$1048576,3,0),0)</f>
        <v/>
      </c>
      <c r="K33" s="86">
        <f>+IFERROR(VLOOKUP($A33,'[9]1'!$A$5:$E$1048576,3,0),0)</f>
        <v/>
      </c>
      <c r="L33" s="86">
        <f>+IFERROR(VLOOKUP($A33,'[10]1'!$A$5:$E$1048576,3,0),0)</f>
        <v/>
      </c>
      <c r="M33" s="86">
        <f>+IFERROR(VLOOKUP($A33,'[11]1'!$A$5:$E$1048576,3,0),0)</f>
        <v/>
      </c>
      <c r="N33" s="86">
        <f>+IFERROR(VLOOKUP($A33,[12]Balance!$A$5:$E$1048576,3,0),0)</f>
        <v/>
      </c>
      <c r="O33" s="86">
        <f>+IFERROR(VLOOKUP($A33,'[13]1 т'!$A$5:$E$1048576,3,0),0)</f>
        <v/>
      </c>
      <c r="P33" s="86">
        <f>+IFERROR(VLOOKUP($A33,[14]Balance!$A$5:$E$1048576,3,0),0)</f>
        <v/>
      </c>
      <c r="Q33" s="86">
        <f>+IFERROR(VLOOKUP($A33,[15]Balance!$A$5:$E$1048576,3,0),0)</f>
        <v/>
      </c>
      <c r="R33" s="86">
        <f>+IFERROR(VLOOKUP($A33,'[16]1'!$A$5:$E$1048576,3,0),0)</f>
        <v/>
      </c>
      <c r="S33" s="86">
        <f>+IFERROR(VLOOKUP($A33,'[17]1'!$A$5:$E$1048576,3,0),0)</f>
        <v/>
      </c>
      <c r="T33" s="86">
        <f>+IFERROR(VLOOKUP($A33,'[18]1'!$A$5:$E$1048576,3,0),0)</f>
        <v/>
      </c>
      <c r="U33" s="86">
        <f>+IFERROR(VLOOKUP($A33,[19]Balans!$A$5:$E$1048576,3,0),0)</f>
        <v/>
      </c>
      <c r="V33" s="86">
        <f>+IFERROR(VLOOKUP($A33,'[20]1'!$A$5:$E$1048576,3,0),0)</f>
        <v/>
      </c>
      <c r="W33" s="86">
        <f>+IFERROR(VLOOKUP($A33,[21]Balance!$A$5:$E$1048576,3,0),0)</f>
        <v/>
      </c>
      <c r="X33" s="86">
        <f>+IFERROR(VLOOKUP($A33,'[22]1'!$A$5:$E$1048576,3,0),0)</f>
        <v/>
      </c>
      <c r="Y33" s="86">
        <f>+IFERROR(VLOOKUP($A33,[23]Лист1!$A$5:$E$1048576,3,0),0)</f>
        <v/>
      </c>
      <c r="Z33" s="86">
        <f>+IFERROR(VLOOKUP($A33,'[24]1'!$A$5:$E$1048576,3,0),0)</f>
        <v/>
      </c>
      <c r="AA33" s="86">
        <f>+IFERROR(VLOOKUP($A33,[25]Balance!$A$5:$E$1048576,3,0),0)</f>
        <v/>
      </c>
      <c r="AB33" s="86">
        <f>+IFERROR(VLOOKUP($A33,'[26]1'!$A$5:$E$1048576,3,0),0)</f>
        <v/>
      </c>
      <c r="AC33" s="86">
        <f>+IFERROR(VLOOKUP($A33,'[27]1'!$A$5:$E$1048576,3,0),0)</f>
        <v/>
      </c>
      <c r="AD33" s="86">
        <f>+IFERROR(VLOOKUP($A33,'[28]1'!$A$5:$E$1048576,3,0),0)</f>
        <v/>
      </c>
      <c r="AE33" s="86">
        <f>+IFERROR(VLOOKUP($A33,[29]Лист1!$A$5:$E$1048576,3,0),0)</f>
        <v/>
      </c>
      <c r="AF33" s="86">
        <f>+IFERROR(VLOOKUP($A33,'[30]1'!$A$5:$E$1048576,3,0),0)</f>
        <v/>
      </c>
      <c r="AG33" s="86">
        <f>+IFERROR(VLOOKUP($A33,'[31]1'!$A$5:$E$1048576,3,0),0)</f>
        <v/>
      </c>
      <c r="AH33" s="86">
        <f>+IFERROR(VLOOKUP($A33,'[32]1-жадвал'!$A$5:$E$1048576,3,0),0)</f>
        <v/>
      </c>
      <c r="AI33" s="248">
        <f>+IFERROR(VLOOKUP($A33,[33]Balance!$A$5:$E$1048576,3,0),0)</f>
        <v/>
      </c>
      <c r="AJ33" s="100">
        <f>+IFERROR(VLOOKUP($A33,[34]Balance!$A$5:$E$1048576,3,0),0)</f>
        <v/>
      </c>
      <c r="AK33" s="100">
        <f>+IFERROR(VLOOKUP($A33,'[35]1'!$A$5:$E$1048576,3,0),0)</f>
        <v/>
      </c>
    </row>
    <row r="34" ht="25.5" customHeight="1">
      <c r="A34" s="183" t="inlineStr">
        <is>
          <t>11.2.1</t>
        </is>
      </c>
      <c r="B34" s="87" t="inlineStr">
        <is>
          <t>Минус: Кўрилиши мумкин бўлган зарарларни қоплаш захираси</t>
        </is>
      </c>
      <c r="C34" s="86">
        <f>+IFERROR(VLOOKUP($A34,[1]Лист1!$A$5:$E$1048576,3,0),0)</f>
        <v/>
      </c>
      <c r="D34" s="86">
        <f>+IFERROR(VLOOKUP($A34,'[2]1'!$A$5:$E$1048576,3,0),0)</f>
        <v/>
      </c>
      <c r="E34" s="86">
        <f>+IFERROR(VLOOKUP($A34,'[3]1'!$A$5:$E$1048576,3,0),0)</f>
        <v/>
      </c>
      <c r="F34" s="86">
        <f>+IFERROR(VLOOKUP($A34,[4]Balance!$A$5:$E$1048576,3,0),0)</f>
        <v/>
      </c>
      <c r="G34" s="86">
        <f>+IFERROR(VLOOKUP($A34,'[5]1'!$A$5:$E$1048576,3,0),0)</f>
        <v/>
      </c>
      <c r="H34" s="86">
        <f>+IFERROR(VLOOKUP($A34,[6]Balance!$A$5:$E$1048576,3,0),0)</f>
        <v/>
      </c>
      <c r="I34" s="86">
        <f>+IFERROR(VLOOKUP($A34,[7]Balance!$A$5:$E$1048576,3,0),0)</f>
        <v/>
      </c>
      <c r="J34" s="86">
        <f>+IFERROR(VLOOKUP($A34,'[8]1'!$A$5:$E$1048576,3,0),0)</f>
        <v/>
      </c>
      <c r="K34" s="86">
        <f>+IFERROR(VLOOKUP($A34,'[9]1'!$A$5:$E$1048576,3,0),0)</f>
        <v/>
      </c>
      <c r="L34" s="86">
        <f>+IFERROR(VLOOKUP($A34,'[10]1'!$A$5:$E$1048576,3,0),0)</f>
        <v/>
      </c>
      <c r="M34" s="86">
        <f>+IFERROR(VLOOKUP($A34,'[11]1'!$A$5:$E$1048576,3,0),0)</f>
        <v/>
      </c>
      <c r="N34" s="86">
        <f>+IFERROR(VLOOKUP($A34,[12]Balance!$A$5:$E$1048576,3,0),0)</f>
        <v/>
      </c>
      <c r="O34" s="86">
        <f>+IFERROR(VLOOKUP($A34,'[13]1 т'!$A$5:$E$1048576,3,0),0)</f>
        <v/>
      </c>
      <c r="P34" s="86">
        <f>+IFERROR(VLOOKUP($A34,[14]Balance!$A$5:$E$1048576,3,0),0)</f>
        <v/>
      </c>
      <c r="Q34" s="86">
        <f>+IFERROR(VLOOKUP($A34,[15]Balance!$A$5:$E$1048576,3,0),0)</f>
        <v/>
      </c>
      <c r="R34" s="86">
        <f>+IFERROR(VLOOKUP($A34,'[16]1'!$A$5:$E$1048576,3,0),0)</f>
        <v/>
      </c>
      <c r="S34" s="86">
        <f>+IFERROR(VLOOKUP($A34,'[17]1'!$A$5:$E$1048576,3,0),0)</f>
        <v/>
      </c>
      <c r="T34" s="86">
        <f>+IFERROR(VLOOKUP($A34,'[18]1'!$A$5:$E$1048576,3,0),0)</f>
        <v/>
      </c>
      <c r="U34" s="86">
        <f>+IFERROR(VLOOKUP($A34,[19]Balans!$A$5:$E$1048576,3,0),0)</f>
        <v/>
      </c>
      <c r="V34" s="86">
        <f>+IFERROR(VLOOKUP($A34,'[20]1'!$A$5:$E$1048576,3,0),0)</f>
        <v/>
      </c>
      <c r="W34" s="86">
        <f>+IFERROR(VLOOKUP($A34,[21]Balance!$A$5:$E$1048576,3,0),0)</f>
        <v/>
      </c>
      <c r="X34" s="86">
        <f>+IFERROR(VLOOKUP($A34,'[22]1'!$A$5:$E$1048576,3,0),0)</f>
        <v/>
      </c>
      <c r="Y34" s="86">
        <f>+IFERROR(VLOOKUP($A34,[23]Лист1!$A$5:$E$1048576,3,0),0)</f>
        <v/>
      </c>
      <c r="Z34" s="86">
        <f>+IFERROR(VLOOKUP($A34,'[24]1'!$A$5:$E$1048576,3,0),0)</f>
        <v/>
      </c>
      <c r="AA34" s="86">
        <f>+IFERROR(VLOOKUP($A34,[25]Balance!$A$5:$E$1048576,3,0),0)</f>
        <v/>
      </c>
      <c r="AB34" s="86">
        <f>+IFERROR(VLOOKUP($A34,'[26]1'!$A$5:$E$1048576,3,0),0)</f>
        <v/>
      </c>
      <c r="AC34" s="86">
        <f>+IFERROR(VLOOKUP($A34,'[27]1'!$A$5:$E$1048576,3,0),0)</f>
        <v/>
      </c>
      <c r="AD34" s="86">
        <f>+IFERROR(VLOOKUP($A34,'[28]1'!$A$5:$E$1048576,3,0),0)</f>
        <v/>
      </c>
      <c r="AE34" s="86">
        <f>+IFERROR(VLOOKUP($A34,[29]Лист1!$A$5:$E$1048576,3,0),0)</f>
        <v/>
      </c>
      <c r="AF34" s="86">
        <f>+IFERROR(VLOOKUP($A34,'[30]1'!$A$5:$E$1048576,3,0),0)</f>
        <v/>
      </c>
      <c r="AG34" s="86">
        <f>+IFERROR(VLOOKUP($A34,'[31]1'!$A$5:$E$1048576,3,0),0)</f>
        <v/>
      </c>
      <c r="AH34" s="86">
        <f>+IFERROR(VLOOKUP($A34,'[32]1-жадвал'!$A$5:$E$1048576,3,0),0)</f>
        <v/>
      </c>
      <c r="AI34" s="248">
        <f>+IFERROR(VLOOKUP($A34,[33]Balance!$A$5:$E$1048576,3,0),0)</f>
        <v/>
      </c>
      <c r="AJ34" s="100">
        <f>+IFERROR(VLOOKUP($A34,[34]Balance!$A$5:$E$1048576,3,0),0)</f>
        <v/>
      </c>
      <c r="AK34" s="100">
        <f>+IFERROR(VLOOKUP($A34,'[35]1'!$A$5:$E$1048576,3,0),0)</f>
        <v/>
      </c>
    </row>
    <row r="35">
      <c r="A35" s="183" t="n">
        <v>12</v>
      </c>
      <c r="B35" s="87" t="inlineStr">
        <is>
          <t>Банкнинг бошқа хусусий мулклари, соф</t>
        </is>
      </c>
      <c r="C35" s="86">
        <f>+IFERROR(VLOOKUP($A35,[1]Лист1!$A$5:$E$1048576,3,0),0)</f>
        <v/>
      </c>
      <c r="D35" s="86">
        <f>+IFERROR(VLOOKUP($A35,'[2]1'!$A$5:$E$1048576,3,0),0)</f>
        <v/>
      </c>
      <c r="E35" s="86">
        <f>+IFERROR(VLOOKUP($A35,'[3]1'!$A$5:$E$1048576,3,0),0)</f>
        <v/>
      </c>
      <c r="F35" s="86">
        <f>+IFERROR(VLOOKUP($A35,[4]Balance!$A$5:$E$1048576,3,0),0)</f>
        <v/>
      </c>
      <c r="G35" s="86">
        <f>+IFERROR(VLOOKUP($A35,'[5]1'!$A$5:$E$1048576,3,0),0)</f>
        <v/>
      </c>
      <c r="H35" s="86">
        <f>+IFERROR(VLOOKUP($A35,[6]Balance!$A$5:$E$1048576,3,0),0)</f>
        <v/>
      </c>
      <c r="I35" s="86">
        <f>+IFERROR(VLOOKUP($A35,[7]Balance!$A$5:$E$1048576,3,0),0)</f>
        <v/>
      </c>
      <c r="J35" s="86">
        <f>+IFERROR(VLOOKUP($A35,'[8]1'!$A$5:$E$1048576,3,0),0)</f>
        <v/>
      </c>
      <c r="K35" s="86">
        <f>+IFERROR(VLOOKUP($A35,'[9]1'!$A$5:$E$1048576,3,0),0)</f>
        <v/>
      </c>
      <c r="L35" s="86">
        <f>+IFERROR(VLOOKUP($A35,'[10]1'!$A$5:$E$1048576,3,0),0)</f>
        <v/>
      </c>
      <c r="M35" s="86">
        <f>+IFERROR(VLOOKUP($A35,'[11]1'!$A$5:$E$1048576,3,0),0)</f>
        <v/>
      </c>
      <c r="N35" s="86">
        <f>+IFERROR(VLOOKUP($A35,[12]Balance!$A$5:$E$1048576,3,0),0)</f>
        <v/>
      </c>
      <c r="O35" s="86">
        <f>+IFERROR(VLOOKUP($A35,'[13]1 т'!$A$5:$E$1048576,3,0),0)</f>
        <v/>
      </c>
      <c r="P35" s="86">
        <f>+IFERROR(VLOOKUP($A35,[14]Balance!$A$5:$E$1048576,3,0),0)</f>
        <v/>
      </c>
      <c r="Q35" s="86">
        <f>+IFERROR(VLOOKUP($A35,[15]Balance!$A$5:$E$1048576,3,0),0)</f>
        <v/>
      </c>
      <c r="R35" s="86">
        <f>+IFERROR(VLOOKUP($A35,'[16]1'!$A$5:$E$1048576,3,0),0)</f>
        <v/>
      </c>
      <c r="S35" s="86">
        <f>+IFERROR(VLOOKUP($A35,'[17]1'!$A$5:$E$1048576,3,0),0)</f>
        <v/>
      </c>
      <c r="T35" s="86">
        <f>+IFERROR(VLOOKUP($A35,'[18]1'!$A$5:$E$1048576,3,0),0)</f>
        <v/>
      </c>
      <c r="U35" s="86">
        <f>+IFERROR(VLOOKUP($A35,[19]Balans!$A$5:$E$1048576,3,0),0)</f>
        <v/>
      </c>
      <c r="V35" s="86">
        <f>+IFERROR(VLOOKUP($A35,'[20]1'!$A$5:$E$1048576,3,0),0)</f>
        <v/>
      </c>
      <c r="W35" s="86">
        <f>+IFERROR(VLOOKUP($A35,[21]Balance!$A$5:$E$1048576,3,0),0)</f>
        <v/>
      </c>
      <c r="X35" s="86">
        <f>+IFERROR(VLOOKUP($A35,'[22]1'!$A$5:$E$1048576,3,0),0)</f>
        <v/>
      </c>
      <c r="Y35" s="86">
        <f>+IFERROR(VLOOKUP($A35,[23]Лист1!$A$5:$E$1048576,3,0),0)</f>
        <v/>
      </c>
      <c r="Z35" s="86">
        <f>+IFERROR(VLOOKUP($A35,'[24]1'!$A$5:$E$1048576,3,0),0)</f>
        <v/>
      </c>
      <c r="AA35" s="86">
        <f>+IFERROR(VLOOKUP($A35,[25]Balance!$A$5:$E$1048576,3,0),0)</f>
        <v/>
      </c>
      <c r="AB35" s="86">
        <f>+IFERROR(VLOOKUP($A35,'[26]1'!$A$5:$E$1048576,3,0),0)</f>
        <v/>
      </c>
      <c r="AC35" s="86">
        <f>+IFERROR(VLOOKUP($A35,'[27]1'!$A$5:$E$1048576,3,0),0)</f>
        <v/>
      </c>
      <c r="AD35" s="86">
        <f>+IFERROR(VLOOKUP($A35,'[28]1'!$A$5:$E$1048576,3,0),0)</f>
        <v/>
      </c>
      <c r="AE35" s="86">
        <f>+IFERROR(VLOOKUP($A35,[29]Лист1!$A$5:$E$1048576,3,0),0)</f>
        <v/>
      </c>
      <c r="AF35" s="86">
        <f>+IFERROR(VLOOKUP($A35,'[30]1'!$A$5:$E$1048576,3,0),0)</f>
        <v/>
      </c>
      <c r="AG35" s="86">
        <f>+IFERROR(VLOOKUP($A35,'[31]1'!$A$5:$E$1048576,3,0),0)</f>
        <v/>
      </c>
      <c r="AH35" s="86">
        <f>+IFERROR(VLOOKUP($A35,'[32]1-жадвал'!$A$5:$E$1048576,3,0),0)</f>
        <v/>
      </c>
      <c r="AI35" s="248">
        <f>+IFERROR(VLOOKUP($A35,[33]Balance!$A$5:$E$1048576,3,0),0)</f>
        <v/>
      </c>
      <c r="AJ35" s="100">
        <f>+IFERROR(VLOOKUP($A35,[34]Balance!$A$5:$E$1048576,3,0),0)</f>
        <v/>
      </c>
      <c r="AK35" s="100">
        <f>+IFERROR(VLOOKUP($A35,'[35]1'!$A$5:$E$1048576,3,0),0)</f>
        <v/>
      </c>
    </row>
    <row r="36" ht="25.5" customHeight="1">
      <c r="A36" s="183" t="inlineStr">
        <is>
          <t>12.1</t>
        </is>
      </c>
      <c r="B36" s="87" t="inlineStr">
        <is>
          <t>Кредит ва лизинг бўйича гаров ҳисобидан ундирилган бошқа мулклар, брутто</t>
        </is>
      </c>
      <c r="C36" s="86">
        <f>+IFERROR(VLOOKUP($A36,[1]Лист1!$A$5:$E$1048576,3,0),0)</f>
        <v/>
      </c>
      <c r="D36" s="86">
        <f>+IFERROR(VLOOKUP($A36,'[2]1'!$A$5:$E$1048576,3,0),0)</f>
        <v/>
      </c>
      <c r="E36" s="86">
        <f>+IFERROR(VLOOKUP($A36,'[3]1'!$A$5:$E$1048576,3,0),0)</f>
        <v/>
      </c>
      <c r="F36" s="86">
        <f>+IFERROR(VLOOKUP($A36,[4]Balance!$A$5:$E$1048576,3,0),0)</f>
        <v/>
      </c>
      <c r="G36" s="86">
        <f>+IFERROR(VLOOKUP($A36,'[5]1'!$A$5:$E$1048576,3,0),0)</f>
        <v/>
      </c>
      <c r="H36" s="86">
        <f>+IFERROR(VLOOKUP($A36,[6]Balance!$A$5:$E$1048576,3,0),0)</f>
        <v/>
      </c>
      <c r="I36" s="86">
        <f>+IFERROR(VLOOKUP($A36,[7]Balance!$A$5:$E$1048576,3,0),0)</f>
        <v/>
      </c>
      <c r="J36" s="86">
        <f>+IFERROR(VLOOKUP($A36,'[8]1'!$A$5:$E$1048576,3,0),0)</f>
        <v/>
      </c>
      <c r="K36" s="86">
        <f>+IFERROR(VLOOKUP($A36,'[9]1'!$A$5:$E$1048576,3,0),0)</f>
        <v/>
      </c>
      <c r="L36" s="86">
        <f>+IFERROR(VLOOKUP($A36,'[10]1'!$A$5:$E$1048576,3,0),0)</f>
        <v/>
      </c>
      <c r="M36" s="86">
        <f>+IFERROR(VLOOKUP($A36,'[11]1'!$A$5:$E$1048576,3,0),0)</f>
        <v/>
      </c>
      <c r="N36" s="86">
        <f>+IFERROR(VLOOKUP($A36,[12]Balance!$A$5:$E$1048576,3,0),0)</f>
        <v/>
      </c>
      <c r="O36" s="86">
        <f>+IFERROR(VLOOKUP($A36,'[13]1 т'!$A$5:$E$1048576,3,0),0)</f>
        <v/>
      </c>
      <c r="P36" s="86">
        <f>+IFERROR(VLOOKUP($A36,[14]Balance!$A$5:$E$1048576,3,0),0)</f>
        <v/>
      </c>
      <c r="Q36" s="86">
        <f>+IFERROR(VLOOKUP($A36,[15]Balance!$A$5:$E$1048576,3,0),0)</f>
        <v/>
      </c>
      <c r="R36" s="86">
        <f>+IFERROR(VLOOKUP($A36,'[16]1'!$A$5:$E$1048576,3,0),0)</f>
        <v/>
      </c>
      <c r="S36" s="86">
        <f>+IFERROR(VLOOKUP($A36,'[17]1'!$A$5:$E$1048576,3,0),0)</f>
        <v/>
      </c>
      <c r="T36" s="86">
        <f>+IFERROR(VLOOKUP($A36,'[18]1'!$A$5:$E$1048576,3,0),0)</f>
        <v/>
      </c>
      <c r="U36" s="86">
        <f>+IFERROR(VLOOKUP($A36,[19]Balans!$A$5:$E$1048576,3,0),0)</f>
        <v/>
      </c>
      <c r="V36" s="86">
        <f>+IFERROR(VLOOKUP($A36,'[20]1'!$A$5:$E$1048576,3,0),0)</f>
        <v/>
      </c>
      <c r="W36" s="86">
        <f>+IFERROR(VLOOKUP($A36,[21]Balance!$A$5:$E$1048576,3,0),0)</f>
        <v/>
      </c>
      <c r="X36" s="86">
        <f>+IFERROR(VLOOKUP($A36,'[22]1'!$A$5:$E$1048576,3,0),0)</f>
        <v/>
      </c>
      <c r="Y36" s="86">
        <f>+IFERROR(VLOOKUP($A36,[23]Лист1!$A$5:$E$1048576,3,0),0)</f>
        <v/>
      </c>
      <c r="Z36" s="86">
        <f>+IFERROR(VLOOKUP($A36,'[24]1'!$A$5:$E$1048576,3,0),0)</f>
        <v/>
      </c>
      <c r="AA36" s="86">
        <f>+IFERROR(VLOOKUP($A36,[25]Balance!$A$5:$E$1048576,3,0),0)</f>
        <v/>
      </c>
      <c r="AB36" s="86">
        <f>+IFERROR(VLOOKUP($A36,'[26]1'!$A$5:$E$1048576,3,0),0)</f>
        <v/>
      </c>
      <c r="AC36" s="86">
        <f>+IFERROR(VLOOKUP($A36,'[27]1'!$A$5:$E$1048576,3,0),0)</f>
        <v/>
      </c>
      <c r="AD36" s="86">
        <f>+IFERROR(VLOOKUP($A36,'[28]1'!$A$5:$E$1048576,3,0),0)</f>
        <v/>
      </c>
      <c r="AE36" s="86">
        <f>+IFERROR(VLOOKUP($A36,[29]Лист1!$A$5:$E$1048576,3,0),0)</f>
        <v/>
      </c>
      <c r="AF36" s="86">
        <f>+IFERROR(VLOOKUP($A36,'[30]1'!$A$5:$E$1048576,3,0),0)</f>
        <v/>
      </c>
      <c r="AG36" s="86">
        <f>+IFERROR(VLOOKUP($A36,'[31]1'!$A$5:$E$1048576,3,0),0)</f>
        <v/>
      </c>
      <c r="AH36" s="86">
        <f>+IFERROR(VLOOKUP($A36,'[32]1-жадвал'!$A$5:$E$1048576,3,0),0)</f>
        <v/>
      </c>
      <c r="AI36" s="248">
        <f>+IFERROR(VLOOKUP($A36,[33]Balance!$A$5:$E$1048576,3,0),0)</f>
        <v/>
      </c>
      <c r="AJ36" s="100">
        <f>+IFERROR(VLOOKUP($A36,[34]Balance!$A$5:$E$1048576,3,0),0)</f>
        <v/>
      </c>
      <c r="AK36" s="100">
        <f>+IFERROR(VLOOKUP($A36,'[35]1'!$A$5:$E$1048576,3,0),0)</f>
        <v/>
      </c>
    </row>
    <row r="37">
      <c r="A37" s="183" t="inlineStr">
        <is>
          <t>12.2</t>
        </is>
      </c>
      <c r="B37" s="87" t="inlineStr">
        <is>
          <t>Банкнинг бошқа хусусий мулклари, брутто</t>
        </is>
      </c>
      <c r="C37" s="86">
        <f>+IFERROR(VLOOKUP($A37,[1]Лист1!$A$5:$E$1048576,3,0),0)</f>
        <v/>
      </c>
      <c r="D37" s="86">
        <f>+IFERROR(VLOOKUP($A37,'[2]1'!$A$5:$E$1048576,3,0),0)</f>
        <v/>
      </c>
      <c r="E37" s="86">
        <f>+IFERROR(VLOOKUP($A37,'[3]1'!$A$5:$E$1048576,3,0),0)</f>
        <v/>
      </c>
      <c r="F37" s="86">
        <f>+IFERROR(VLOOKUP($A37,[4]Balance!$A$5:$E$1048576,3,0),0)</f>
        <v/>
      </c>
      <c r="G37" s="86">
        <f>+IFERROR(VLOOKUP($A37,'[5]1'!$A$5:$E$1048576,3,0),0)</f>
        <v/>
      </c>
      <c r="H37" s="86">
        <f>+IFERROR(VLOOKUP($A37,[6]Balance!$A$5:$E$1048576,3,0),0)</f>
        <v/>
      </c>
      <c r="I37" s="86">
        <f>+IFERROR(VLOOKUP($A37,[7]Balance!$A$5:$E$1048576,3,0),0)</f>
        <v/>
      </c>
      <c r="J37" s="86">
        <f>+IFERROR(VLOOKUP($A37,'[8]1'!$A$5:$E$1048576,3,0),0)</f>
        <v/>
      </c>
      <c r="K37" s="86">
        <f>+IFERROR(VLOOKUP($A37,'[9]1'!$A$5:$E$1048576,3,0),0)</f>
        <v/>
      </c>
      <c r="L37" s="86">
        <f>+IFERROR(VLOOKUP($A37,'[10]1'!$A$5:$E$1048576,3,0),0)</f>
        <v/>
      </c>
      <c r="M37" s="86">
        <f>+IFERROR(VLOOKUP($A37,'[11]1'!$A$5:$E$1048576,3,0),0)</f>
        <v/>
      </c>
      <c r="N37" s="86">
        <f>+IFERROR(VLOOKUP($A37,[12]Balance!$A$5:$E$1048576,3,0),0)</f>
        <v/>
      </c>
      <c r="O37" s="86">
        <f>+IFERROR(VLOOKUP($A37,'[13]1 т'!$A$5:$E$1048576,3,0),0)</f>
        <v/>
      </c>
      <c r="P37" s="86">
        <f>+IFERROR(VLOOKUP($A37,[14]Balance!$A$5:$E$1048576,3,0),0)</f>
        <v/>
      </c>
      <c r="Q37" s="86">
        <f>+IFERROR(VLOOKUP($A37,[15]Balance!$A$5:$E$1048576,3,0),0)</f>
        <v/>
      </c>
      <c r="R37" s="86">
        <f>+IFERROR(VLOOKUP($A37,'[16]1'!$A$5:$E$1048576,3,0),0)</f>
        <v/>
      </c>
      <c r="S37" s="86">
        <f>+IFERROR(VLOOKUP($A37,'[17]1'!$A$5:$E$1048576,3,0),0)</f>
        <v/>
      </c>
      <c r="T37" s="86">
        <f>+IFERROR(VLOOKUP($A37,'[18]1'!$A$5:$E$1048576,3,0),0)</f>
        <v/>
      </c>
      <c r="U37" s="86">
        <f>+IFERROR(VLOOKUP($A37,[19]Balans!$A$5:$E$1048576,3,0),0)</f>
        <v/>
      </c>
      <c r="V37" s="86">
        <f>+IFERROR(VLOOKUP($A37,'[20]1'!$A$5:$E$1048576,3,0),0)</f>
        <v/>
      </c>
      <c r="W37" s="86">
        <f>+IFERROR(VLOOKUP($A37,[21]Balance!$A$5:$E$1048576,3,0),0)</f>
        <v/>
      </c>
      <c r="X37" s="86">
        <f>+IFERROR(VLOOKUP($A37,'[22]1'!$A$5:$E$1048576,3,0),0)</f>
        <v/>
      </c>
      <c r="Y37" s="86">
        <f>+IFERROR(VLOOKUP($A37,[23]Лист1!$A$5:$E$1048576,3,0),0)</f>
        <v/>
      </c>
      <c r="Z37" s="86">
        <f>+IFERROR(VLOOKUP($A37,'[24]1'!$A$5:$E$1048576,3,0),0)</f>
        <v/>
      </c>
      <c r="AA37" s="86">
        <f>+IFERROR(VLOOKUP($A37,[25]Balance!$A$5:$E$1048576,3,0),0)</f>
        <v/>
      </c>
      <c r="AB37" s="86">
        <f>+IFERROR(VLOOKUP($A37,'[26]1'!$A$5:$E$1048576,3,0),0)</f>
        <v/>
      </c>
      <c r="AC37" s="86">
        <f>+IFERROR(VLOOKUP($A37,'[27]1'!$A$5:$E$1048576,3,0),0)</f>
        <v/>
      </c>
      <c r="AD37" s="86">
        <f>+IFERROR(VLOOKUP($A37,'[28]1'!$A$5:$E$1048576,3,0),0)</f>
        <v/>
      </c>
      <c r="AE37" s="86">
        <f>+IFERROR(VLOOKUP($A37,[29]Лист1!$A$5:$E$1048576,3,0),0)</f>
        <v/>
      </c>
      <c r="AF37" s="86">
        <f>+IFERROR(VLOOKUP($A37,'[30]1'!$A$5:$E$1048576,3,0),0)</f>
        <v/>
      </c>
      <c r="AG37" s="86">
        <f>+IFERROR(VLOOKUP($A37,'[31]1'!$A$5:$E$1048576,3,0),0)</f>
        <v/>
      </c>
      <c r="AH37" s="86">
        <f>+IFERROR(VLOOKUP($A37,'[32]1-жадвал'!$A$5:$E$1048576,3,0),0)</f>
        <v/>
      </c>
      <c r="AI37" s="248">
        <f>+IFERROR(VLOOKUP($A37,[33]Balance!$A$5:$E$1048576,3,0),0)</f>
        <v/>
      </c>
      <c r="AJ37" s="100">
        <f>+IFERROR(VLOOKUP($A37,[34]Balance!$A$5:$E$1048576,3,0),0)</f>
        <v/>
      </c>
      <c r="AK37" s="100">
        <f>+IFERROR(VLOOKUP($A37,'[35]1'!$A$5:$E$1048576,3,0),0)</f>
        <v/>
      </c>
    </row>
    <row r="38" ht="25.5" customHeight="1">
      <c r="A38" s="183" t="inlineStr">
        <is>
          <t>12.3</t>
        </is>
      </c>
      <c r="B38" s="87" t="inlineStr">
        <is>
          <t>Минус: Йиғилган эскириш суммаси ва кўрилиши мумкин бўлган зарарларни қоплаш захираси</t>
        </is>
      </c>
      <c r="C38" s="86">
        <f>+IFERROR(VLOOKUP($A38,[1]Лист1!$A$5:$E$1048576,3,0),0)</f>
        <v/>
      </c>
      <c r="D38" s="86">
        <f>+IFERROR(VLOOKUP($A38,'[2]1'!$A$5:$E$1048576,3,0),0)</f>
        <v/>
      </c>
      <c r="E38" s="86">
        <f>+IFERROR(VLOOKUP($A38,'[3]1'!$A$5:$E$1048576,3,0),0)</f>
        <v/>
      </c>
      <c r="F38" s="86">
        <f>+IFERROR(VLOOKUP($A38,[4]Balance!$A$5:$E$1048576,3,0),0)</f>
        <v/>
      </c>
      <c r="G38" s="86">
        <f>+IFERROR(VLOOKUP($A38,'[5]1'!$A$5:$E$1048576,3,0),0)</f>
        <v/>
      </c>
      <c r="H38" s="86">
        <f>+IFERROR(VLOOKUP($A38,[6]Balance!$A$5:$E$1048576,3,0),0)</f>
        <v/>
      </c>
      <c r="I38" s="86">
        <f>+IFERROR(VLOOKUP($A38,[7]Balance!$A$5:$E$1048576,3,0),0)</f>
        <v/>
      </c>
      <c r="J38" s="86">
        <f>+IFERROR(VLOOKUP($A38,'[8]1'!$A$5:$E$1048576,3,0),0)</f>
        <v/>
      </c>
      <c r="K38" s="86">
        <f>+IFERROR(VLOOKUP($A38,'[9]1'!$A$5:$E$1048576,3,0),0)</f>
        <v/>
      </c>
      <c r="L38" s="86">
        <f>+IFERROR(VLOOKUP($A38,'[10]1'!$A$5:$E$1048576,3,0),0)</f>
        <v/>
      </c>
      <c r="M38" s="86">
        <f>+IFERROR(VLOOKUP($A38,'[11]1'!$A$5:$E$1048576,3,0),0)</f>
        <v/>
      </c>
      <c r="N38" s="86">
        <f>+IFERROR(VLOOKUP($A38,[12]Balance!$A$5:$E$1048576,3,0),0)</f>
        <v/>
      </c>
      <c r="O38" s="86">
        <f>+IFERROR(VLOOKUP($A38,'[13]1 т'!$A$5:$E$1048576,3,0),0)</f>
        <v/>
      </c>
      <c r="P38" s="86">
        <f>+IFERROR(VLOOKUP($A38,[14]Balance!$A$5:$E$1048576,3,0),0)</f>
        <v/>
      </c>
      <c r="Q38" s="86">
        <f>+IFERROR(VLOOKUP($A38,[15]Balance!$A$5:$E$1048576,3,0),0)</f>
        <v/>
      </c>
      <c r="R38" s="86">
        <f>+IFERROR(VLOOKUP($A38,'[16]1'!$A$5:$E$1048576,3,0),0)</f>
        <v/>
      </c>
      <c r="S38" s="86">
        <f>+IFERROR(VLOOKUP($A38,'[17]1'!$A$5:$E$1048576,3,0),0)</f>
        <v/>
      </c>
      <c r="T38" s="86">
        <f>+IFERROR(VLOOKUP($A38,'[18]1'!$A$5:$E$1048576,3,0),0)</f>
        <v/>
      </c>
      <c r="U38" s="86">
        <f>+IFERROR(VLOOKUP($A38,[19]Balans!$A$5:$E$1048576,3,0),0)</f>
        <v/>
      </c>
      <c r="V38" s="86">
        <f>+IFERROR(VLOOKUP($A38,'[20]1'!$A$5:$E$1048576,3,0),0)</f>
        <v/>
      </c>
      <c r="W38" s="86">
        <f>+IFERROR(VLOOKUP($A38,[21]Balance!$A$5:$E$1048576,3,0),0)</f>
        <v/>
      </c>
      <c r="X38" s="86">
        <f>+IFERROR(VLOOKUP($A38,'[22]1'!$A$5:$E$1048576,3,0),0)</f>
        <v/>
      </c>
      <c r="Y38" s="86">
        <f>+IFERROR(VLOOKUP($A38,[23]Лист1!$A$5:$E$1048576,3,0),0)</f>
        <v/>
      </c>
      <c r="Z38" s="86">
        <f>+IFERROR(VLOOKUP($A38,'[24]1'!$A$5:$E$1048576,3,0),0)</f>
        <v/>
      </c>
      <c r="AA38" s="86">
        <f>+IFERROR(VLOOKUP($A38,[25]Balance!$A$5:$E$1048576,3,0),0)</f>
        <v/>
      </c>
      <c r="AB38" s="86">
        <f>+IFERROR(VLOOKUP($A38,'[26]1'!$A$5:$E$1048576,3,0),0)</f>
        <v/>
      </c>
      <c r="AC38" s="86">
        <f>+IFERROR(VLOOKUP($A38,'[27]1'!$A$5:$E$1048576,3,0),0)</f>
        <v/>
      </c>
      <c r="AD38" s="86">
        <f>+IFERROR(VLOOKUP($A38,'[28]1'!$A$5:$E$1048576,3,0),0)</f>
        <v/>
      </c>
      <c r="AE38" s="86">
        <f>+IFERROR(VLOOKUP($A38,[29]Лист1!$A$5:$E$1048576,3,0),0)</f>
        <v/>
      </c>
      <c r="AF38" s="86">
        <f>+IFERROR(VLOOKUP($A38,'[30]1'!$A$5:$E$1048576,3,0),0)</f>
        <v/>
      </c>
      <c r="AG38" s="86">
        <f>+IFERROR(VLOOKUP($A38,'[31]1'!$A$5:$E$1048576,3,0),0)</f>
        <v/>
      </c>
      <c r="AH38" s="86">
        <f>+IFERROR(VLOOKUP($A38,'[32]1-жадвал'!$A$5:$E$1048576,3,0),0)</f>
        <v/>
      </c>
      <c r="AI38" s="248">
        <f>+IFERROR(VLOOKUP($A38,[33]Balance!$A$5:$E$1048576,3,0),0)</f>
        <v/>
      </c>
      <c r="AJ38" s="100">
        <f>+IFERROR(VLOOKUP($A38,[34]Balance!$A$5:$E$1048576,3,0),0)</f>
        <v/>
      </c>
      <c r="AK38" s="100">
        <f>+IFERROR(VLOOKUP($A38,'[35]1'!$A$5:$E$1048576,3,0),0)</f>
        <v/>
      </c>
    </row>
    <row r="39" ht="25.5" customHeight="1">
      <c r="A39" s="183" t="n">
        <v>13</v>
      </c>
      <c r="B39" s="87" t="inlineStr">
        <is>
          <t>Стандарт деб таснифланган активлар бўйича яратилган захиралар</t>
        </is>
      </c>
      <c r="C39" s="86">
        <f>+IFERROR(VLOOKUP($A39,[1]Лист1!$A$5:$E$1048576,3,0),0)</f>
        <v/>
      </c>
      <c r="D39" s="86">
        <f>+IFERROR(VLOOKUP($A39,'[2]1'!$A$5:$E$1048576,3,0),0)</f>
        <v/>
      </c>
      <c r="E39" s="86">
        <f>+IFERROR(VLOOKUP($A39,'[3]1'!$A$5:$E$1048576,3,0),0)</f>
        <v/>
      </c>
      <c r="F39" s="86">
        <f>+IFERROR(VLOOKUP($A39,[4]Balance!$A$5:$E$1048576,3,0),0)</f>
        <v/>
      </c>
      <c r="G39" s="86">
        <f>+IFERROR(VLOOKUP($A39,'[5]1'!$A$5:$E$1048576,3,0),0)</f>
        <v/>
      </c>
      <c r="H39" s="86">
        <f>+IFERROR(VLOOKUP($A39,[6]Balance!$A$5:$E$1048576,3,0),0)</f>
        <v/>
      </c>
      <c r="I39" s="86">
        <f>+IFERROR(VLOOKUP($A39,[7]Balance!$A$5:$E$1048576,3,0),0)</f>
        <v/>
      </c>
      <c r="J39" s="86">
        <f>+IFERROR(VLOOKUP($A39,'[8]1'!$A$5:$E$1048576,3,0),0)</f>
        <v/>
      </c>
      <c r="K39" s="86">
        <f>+IFERROR(VLOOKUP($A39,'[9]1'!$A$5:$E$1048576,3,0),0)</f>
        <v/>
      </c>
      <c r="L39" s="86">
        <f>+IFERROR(VLOOKUP($A39,'[10]1'!$A$5:$E$1048576,3,0),0)</f>
        <v/>
      </c>
      <c r="M39" s="86">
        <f>+IFERROR(VLOOKUP($A39,'[11]1'!$A$5:$E$1048576,3,0),0)</f>
        <v/>
      </c>
      <c r="N39" s="86">
        <f>+IFERROR(VLOOKUP($A39,[12]Balance!$A$5:$E$1048576,3,0),0)</f>
        <v/>
      </c>
      <c r="O39" s="86">
        <f>+IFERROR(VLOOKUP($A39,'[13]1 т'!$A$5:$E$1048576,3,0),0)</f>
        <v/>
      </c>
      <c r="P39" s="86">
        <f>+IFERROR(VLOOKUP($A39,[14]Balance!$A$5:$E$1048576,3,0),0)</f>
        <v/>
      </c>
      <c r="Q39" s="86">
        <f>+IFERROR(VLOOKUP($A39,[15]Balance!$A$5:$E$1048576,3,0),0)</f>
        <v/>
      </c>
      <c r="R39" s="86">
        <f>+IFERROR(VLOOKUP($A39,'[16]1'!$A$5:$E$1048576,3,0),0)</f>
        <v/>
      </c>
      <c r="S39" s="86">
        <f>+IFERROR(VLOOKUP($A39,'[17]1'!$A$5:$E$1048576,3,0),0)</f>
        <v/>
      </c>
      <c r="T39" s="86">
        <f>+IFERROR(VLOOKUP($A39,'[18]1'!$A$5:$E$1048576,3,0),0)</f>
        <v/>
      </c>
      <c r="U39" s="86">
        <f>+IFERROR(VLOOKUP($A39,[19]Balans!$A$5:$E$1048576,3,0),0)</f>
        <v/>
      </c>
      <c r="V39" s="86">
        <f>+IFERROR(VLOOKUP($A39,'[20]1'!$A$5:$E$1048576,3,0),0)</f>
        <v/>
      </c>
      <c r="W39" s="86">
        <f>+IFERROR(VLOOKUP($A39,[21]Balance!$A$5:$E$1048576,3,0),0)</f>
        <v/>
      </c>
      <c r="X39" s="86">
        <f>+IFERROR(VLOOKUP($A39,'[22]1'!$A$5:$E$1048576,3,0),0)</f>
        <v/>
      </c>
      <c r="Y39" s="86">
        <f>+IFERROR(VLOOKUP($A39,[23]Лист1!$A$5:$E$1048576,3,0),0)</f>
        <v/>
      </c>
      <c r="Z39" s="86">
        <f>+IFERROR(VLOOKUP($A39,'[24]1'!$A$5:$E$1048576,3,0),0)</f>
        <v/>
      </c>
      <c r="AA39" s="86">
        <f>+IFERROR(VLOOKUP($A39,[25]Balance!$A$5:$E$1048576,3,0),0)</f>
        <v/>
      </c>
      <c r="AB39" s="86">
        <f>+IFERROR(VLOOKUP($A39,'[26]1'!$A$5:$E$1048576,3,0),0)</f>
        <v/>
      </c>
      <c r="AC39" s="86">
        <f>+IFERROR(VLOOKUP($A39,'[27]1'!$A$5:$E$1048576,3,0),0)</f>
        <v/>
      </c>
      <c r="AD39" s="86">
        <f>+IFERROR(VLOOKUP($A39,'[28]1'!$A$5:$E$1048576,3,0),0)</f>
        <v/>
      </c>
      <c r="AE39" s="86">
        <f>+IFERROR(VLOOKUP($A39,[29]Лист1!$A$5:$E$1048576,3,0),0)</f>
        <v/>
      </c>
      <c r="AF39" s="86">
        <f>+IFERROR(VLOOKUP($A39,'[30]1'!$A$5:$E$1048576,3,0),0)</f>
        <v/>
      </c>
      <c r="AG39" s="86">
        <f>+IFERROR(VLOOKUP($A39,'[31]1'!$A$5:$E$1048576,3,0),0)</f>
        <v/>
      </c>
      <c r="AH39" s="86">
        <f>+IFERROR(VLOOKUP($A39,'[32]1-жадвал'!$A$5:$E$1048576,3,0),0)</f>
        <v/>
      </c>
      <c r="AI39" s="248">
        <f>+IFERROR(VLOOKUP($A39,[33]Balance!$A$5:$E$1048576,3,0),0)</f>
        <v/>
      </c>
      <c r="AJ39" s="100">
        <f>+IFERROR(VLOOKUP($A39,[34]Balance!$A$5:$E$1048576,3,0),0)</f>
        <v/>
      </c>
      <c r="AK39" s="100">
        <f>+IFERROR(VLOOKUP($A39,'[35]1'!$A$5:$E$1048576,3,0),0)</f>
        <v/>
      </c>
    </row>
    <row r="40" ht="25.5" customHeight="1">
      <c r="A40" s="183" t="inlineStr">
        <is>
          <t>13.1</t>
        </is>
      </c>
      <c r="B40" s="87" t="inlineStr">
        <is>
          <t>Стандарт деб таснифланган кредитлар, лизинг ва факторинг бўйича захира</t>
        </is>
      </c>
      <c r="C40" s="86">
        <f>+IFERROR(VLOOKUP($A40,[1]Лист1!$A$5:$E$1048576,3,0),0)</f>
        <v/>
      </c>
      <c r="D40" s="86">
        <f>+IFERROR(VLOOKUP($A40,'[2]1'!$A$5:$E$1048576,3,0),0)</f>
        <v/>
      </c>
      <c r="E40" s="86">
        <f>+IFERROR(VLOOKUP($A40,'[3]1'!$A$5:$E$1048576,3,0),0)</f>
        <v/>
      </c>
      <c r="F40" s="86">
        <f>+IFERROR(VLOOKUP($A40,[4]Balance!$A$5:$E$1048576,3,0),0)</f>
        <v/>
      </c>
      <c r="G40" s="86">
        <f>+IFERROR(VLOOKUP($A40,'[5]1'!$A$5:$E$1048576,3,0),0)</f>
        <v/>
      </c>
      <c r="H40" s="86">
        <f>+IFERROR(VLOOKUP($A40,[6]Balance!$A$5:$E$1048576,3,0),0)</f>
        <v/>
      </c>
      <c r="I40" s="86">
        <f>+IFERROR(VLOOKUP($A40,[7]Balance!$A$5:$E$1048576,3,0),0)</f>
        <v/>
      </c>
      <c r="J40" s="86">
        <f>+IFERROR(VLOOKUP($A40,'[8]1'!$A$5:$E$1048576,3,0),0)</f>
        <v/>
      </c>
      <c r="K40" s="86">
        <f>+IFERROR(VLOOKUP($A40,'[9]1'!$A$5:$E$1048576,3,0),0)</f>
        <v/>
      </c>
      <c r="L40" s="86">
        <f>+IFERROR(VLOOKUP($A40,'[10]1'!$A$5:$E$1048576,3,0),0)</f>
        <v/>
      </c>
      <c r="M40" s="86">
        <f>+IFERROR(VLOOKUP($A40,'[11]1'!$A$5:$E$1048576,3,0),0)</f>
        <v/>
      </c>
      <c r="N40" s="86">
        <f>+IFERROR(VLOOKUP($A40,[12]Balance!$A$5:$E$1048576,3,0),0)</f>
        <v/>
      </c>
      <c r="O40" s="86">
        <f>+IFERROR(VLOOKUP($A40,'[13]1 т'!$A$5:$E$1048576,3,0),0)</f>
        <v/>
      </c>
      <c r="P40" s="86">
        <f>+IFERROR(VLOOKUP($A40,[14]Balance!$A$5:$E$1048576,3,0),0)</f>
        <v/>
      </c>
      <c r="Q40" s="86">
        <f>+IFERROR(VLOOKUP($A40,[15]Balance!$A$5:$E$1048576,3,0),0)</f>
        <v/>
      </c>
      <c r="R40" s="86">
        <f>+IFERROR(VLOOKUP($A40,'[16]1'!$A$5:$E$1048576,3,0),0)</f>
        <v/>
      </c>
      <c r="S40" s="86">
        <f>+IFERROR(VLOOKUP($A40,'[17]1'!$A$5:$E$1048576,3,0),0)</f>
        <v/>
      </c>
      <c r="T40" s="86">
        <f>+IFERROR(VLOOKUP($A40,'[18]1'!$A$5:$E$1048576,3,0),0)</f>
        <v/>
      </c>
      <c r="U40" s="86">
        <f>+IFERROR(VLOOKUP($A40,[19]Balans!$A$5:$E$1048576,3,0),0)</f>
        <v/>
      </c>
      <c r="V40" s="86">
        <f>+IFERROR(VLOOKUP($A40,'[20]1'!$A$5:$E$1048576,3,0),0)</f>
        <v/>
      </c>
      <c r="W40" s="86">
        <f>+IFERROR(VLOOKUP($A40,[21]Balance!$A$5:$E$1048576,3,0),0)</f>
        <v/>
      </c>
      <c r="X40" s="86">
        <f>+IFERROR(VLOOKUP($A40,'[22]1'!$A$5:$E$1048576,3,0),0)</f>
        <v/>
      </c>
      <c r="Y40" s="86">
        <f>+IFERROR(VLOOKUP($A40,[23]Лист1!$A$5:$E$1048576,3,0),0)</f>
        <v/>
      </c>
      <c r="Z40" s="86">
        <f>+IFERROR(VLOOKUP($A40,'[24]1'!$A$5:$E$1048576,3,0),0)</f>
        <v/>
      </c>
      <c r="AA40" s="86">
        <f>+IFERROR(VLOOKUP($A40,[25]Balance!$A$5:$E$1048576,3,0),0)</f>
        <v/>
      </c>
      <c r="AB40" s="86">
        <f>+IFERROR(VLOOKUP($A40,'[26]1'!$A$5:$E$1048576,3,0),0)</f>
        <v/>
      </c>
      <c r="AC40" s="86">
        <f>+IFERROR(VLOOKUP($A40,'[27]1'!$A$5:$E$1048576,3,0),0)</f>
        <v/>
      </c>
      <c r="AD40" s="86">
        <f>+IFERROR(VLOOKUP($A40,'[28]1'!$A$5:$E$1048576,3,0),0)</f>
        <v/>
      </c>
      <c r="AE40" s="86">
        <f>+IFERROR(VLOOKUP($A40,[29]Лист1!$A$5:$E$1048576,3,0),0)</f>
        <v/>
      </c>
      <c r="AF40" s="86">
        <f>+IFERROR(VLOOKUP($A40,'[30]1'!$A$5:$E$1048576,3,0),0)</f>
        <v/>
      </c>
      <c r="AG40" s="86">
        <f>+IFERROR(VLOOKUP($A40,'[31]1'!$A$5:$E$1048576,3,0),0)</f>
        <v/>
      </c>
      <c r="AH40" s="86">
        <f>+IFERROR(VLOOKUP($A40,'[32]1-жадвал'!$A$5:$E$1048576,3,0),0)</f>
        <v/>
      </c>
      <c r="AI40" s="248">
        <f>+IFERROR(VLOOKUP($A40,[33]Balance!$A$5:$E$1048576,3,0),0)</f>
        <v/>
      </c>
      <c r="AJ40" s="100">
        <f>+IFERROR(VLOOKUP($A40,[34]Balance!$A$5:$E$1048576,3,0),0)</f>
        <v/>
      </c>
      <c r="AK40" s="100">
        <f>+IFERROR(VLOOKUP($A40,'[35]1'!$A$5:$E$1048576,3,0),0)</f>
        <v/>
      </c>
    </row>
    <row r="41">
      <c r="A41" s="183" t="inlineStr">
        <is>
          <t>13.2</t>
        </is>
      </c>
      <c r="B41" s="87" t="inlineStr">
        <is>
          <t>Стандарт деб таснифланган бошқа активлар бўйича захира</t>
        </is>
      </c>
      <c r="C41" s="86">
        <f>+IFERROR(VLOOKUP($A41,[1]Лист1!$A$5:$E$1048576,3,0),0)</f>
        <v/>
      </c>
      <c r="D41" s="86">
        <f>+IFERROR(VLOOKUP($A41,'[2]1'!$A$5:$E$1048576,3,0),0)</f>
        <v/>
      </c>
      <c r="E41" s="86">
        <f>+IFERROR(VLOOKUP($A41,'[3]1'!$A$5:$E$1048576,3,0),0)</f>
        <v/>
      </c>
      <c r="F41" s="86">
        <f>+IFERROR(VLOOKUP($A41,[4]Balance!$A$5:$E$1048576,3,0),0)</f>
        <v/>
      </c>
      <c r="G41" s="86">
        <f>+IFERROR(VLOOKUP($A41,'[5]1'!$A$5:$E$1048576,3,0),0)</f>
        <v/>
      </c>
      <c r="H41" s="86">
        <f>+IFERROR(VLOOKUP($A41,[6]Balance!$A$5:$E$1048576,3,0),0)</f>
        <v/>
      </c>
      <c r="I41" s="86">
        <f>+IFERROR(VLOOKUP($A41,[7]Balance!$A$5:$E$1048576,3,0),0)</f>
        <v/>
      </c>
      <c r="J41" s="86">
        <f>+IFERROR(VLOOKUP($A41,'[8]1'!$A$5:$E$1048576,3,0),0)</f>
        <v/>
      </c>
      <c r="K41" s="86">
        <f>+IFERROR(VLOOKUP($A41,'[9]1'!$A$5:$E$1048576,3,0),0)</f>
        <v/>
      </c>
      <c r="L41" s="86">
        <f>+IFERROR(VLOOKUP($A41,'[10]1'!$A$5:$E$1048576,3,0),0)</f>
        <v/>
      </c>
      <c r="M41" s="86">
        <f>+IFERROR(VLOOKUP($A41,'[11]1'!$A$5:$E$1048576,3,0),0)</f>
        <v/>
      </c>
      <c r="N41" s="86">
        <f>+IFERROR(VLOOKUP($A41,[12]Balance!$A$5:$E$1048576,3,0),0)</f>
        <v/>
      </c>
      <c r="O41" s="86">
        <f>+IFERROR(VLOOKUP($A41,'[13]1 т'!$A$5:$E$1048576,3,0),0)</f>
        <v/>
      </c>
      <c r="P41" s="86">
        <f>+IFERROR(VLOOKUP($A41,[14]Balance!$A$5:$E$1048576,3,0),0)</f>
        <v/>
      </c>
      <c r="Q41" s="86">
        <f>+IFERROR(VLOOKUP($A41,[15]Balance!$A$5:$E$1048576,3,0),0)</f>
        <v/>
      </c>
      <c r="R41" s="86">
        <f>+IFERROR(VLOOKUP($A41,'[16]1'!$A$5:$E$1048576,3,0),0)</f>
        <v/>
      </c>
      <c r="S41" s="86">
        <f>+IFERROR(VLOOKUP($A41,'[17]1'!$A$5:$E$1048576,3,0),0)</f>
        <v/>
      </c>
      <c r="T41" s="86">
        <f>+IFERROR(VLOOKUP($A41,'[18]1'!$A$5:$E$1048576,3,0),0)</f>
        <v/>
      </c>
      <c r="U41" s="86">
        <f>+IFERROR(VLOOKUP($A41,[19]Balans!$A$5:$E$1048576,3,0),0)</f>
        <v/>
      </c>
      <c r="V41" s="86">
        <f>+IFERROR(VLOOKUP($A41,'[20]1'!$A$5:$E$1048576,3,0),0)</f>
        <v/>
      </c>
      <c r="W41" s="86">
        <f>+IFERROR(VLOOKUP($A41,[21]Balance!$A$5:$E$1048576,3,0),0)</f>
        <v/>
      </c>
      <c r="X41" s="86">
        <f>+IFERROR(VLOOKUP($A41,'[22]1'!$A$5:$E$1048576,3,0),0)</f>
        <v/>
      </c>
      <c r="Y41" s="86">
        <f>+IFERROR(VLOOKUP($A41,[23]Лист1!$A$5:$E$1048576,3,0),0)</f>
        <v/>
      </c>
      <c r="Z41" s="86">
        <f>+IFERROR(VLOOKUP($A41,'[24]1'!$A$5:$E$1048576,3,0),0)</f>
        <v/>
      </c>
      <c r="AA41" s="86">
        <f>+IFERROR(VLOOKUP($A41,[25]Balance!$A$5:$E$1048576,3,0),0)</f>
        <v/>
      </c>
      <c r="AB41" s="86">
        <f>+IFERROR(VLOOKUP($A41,'[26]1'!$A$5:$E$1048576,3,0),0)</f>
        <v/>
      </c>
      <c r="AC41" s="86">
        <f>+IFERROR(VLOOKUP($A41,'[27]1'!$A$5:$E$1048576,3,0),0)</f>
        <v/>
      </c>
      <c r="AD41" s="86">
        <f>+IFERROR(VLOOKUP($A41,'[28]1'!$A$5:$E$1048576,3,0),0)</f>
        <v/>
      </c>
      <c r="AE41" s="86">
        <f>+IFERROR(VLOOKUP($A41,[29]Лист1!$A$5:$E$1048576,3,0),0)</f>
        <v/>
      </c>
      <c r="AF41" s="86">
        <f>+IFERROR(VLOOKUP($A41,'[30]1'!$A$5:$E$1048576,3,0),0)</f>
        <v/>
      </c>
      <c r="AG41" s="86">
        <f>+IFERROR(VLOOKUP($A41,'[31]1'!$A$5:$E$1048576,3,0),0)</f>
        <v/>
      </c>
      <c r="AH41" s="86">
        <f>+IFERROR(VLOOKUP($A41,'[32]1-жадвал'!$A$5:$E$1048576,3,0),0)</f>
        <v/>
      </c>
      <c r="AI41" s="248">
        <f>+IFERROR(VLOOKUP($A41,[33]Balance!$A$5:$E$1048576,3,0),0)</f>
        <v/>
      </c>
      <c r="AJ41" s="100">
        <f>+IFERROR(VLOOKUP($A41,[34]Balance!$A$5:$E$1048576,3,0),0)</f>
        <v/>
      </c>
      <c r="AK41" s="100">
        <f>+IFERROR(VLOOKUP($A41,'[35]1'!$A$5:$E$1048576,3,0),0)</f>
        <v/>
      </c>
      <c r="AM41" s="188" t="n"/>
    </row>
    <row r="42" ht="25.5" customHeight="1">
      <c r="A42" s="183" t="inlineStr">
        <is>
          <t>13.3</t>
        </is>
      </c>
      <c r="B42" s="87" t="inlineStr">
        <is>
          <t xml:space="preserve">Стандарт деб таснифланган активлар бўйича фоизлар ва воситачилик ҳақларига оид захира </t>
        </is>
      </c>
      <c r="C42" s="86">
        <f>+IFERROR(VLOOKUP($A42,[1]Лист1!$A$5:$E$1048576,3,0),0)</f>
        <v/>
      </c>
      <c r="D42" s="86">
        <f>+IFERROR(VLOOKUP($A42,'[2]1'!$A$5:$E$1048576,3,0),0)</f>
        <v/>
      </c>
      <c r="E42" s="86">
        <f>+IFERROR(VLOOKUP($A42,'[3]1'!$A$5:$E$1048576,3,0),0)</f>
        <v/>
      </c>
      <c r="F42" s="86">
        <f>+IFERROR(VLOOKUP($A42,[4]Balance!$A$5:$E$1048576,3,0),0)</f>
        <v/>
      </c>
      <c r="G42" s="86">
        <f>+IFERROR(VLOOKUP($A42,'[5]1'!$A$5:$E$1048576,3,0),0)</f>
        <v/>
      </c>
      <c r="H42" s="86">
        <f>+IFERROR(VLOOKUP($A42,[6]Balance!$A$5:$E$1048576,3,0),0)</f>
        <v/>
      </c>
      <c r="I42" s="86">
        <f>+IFERROR(VLOOKUP($A42,[7]Balance!$A$5:$E$1048576,3,0),0)</f>
        <v/>
      </c>
      <c r="J42" s="86">
        <f>+IFERROR(VLOOKUP($A42,'[8]1'!$A$5:$E$1048576,3,0),0)</f>
        <v/>
      </c>
      <c r="K42" s="86">
        <f>+IFERROR(VLOOKUP($A42,'[9]1'!$A$5:$E$1048576,3,0),0)</f>
        <v/>
      </c>
      <c r="L42" s="86">
        <f>+IFERROR(VLOOKUP($A42,'[10]1'!$A$5:$E$1048576,3,0),0)</f>
        <v/>
      </c>
      <c r="M42" s="86">
        <f>+IFERROR(VLOOKUP($A42,'[11]1'!$A$5:$E$1048576,3,0),0)</f>
        <v/>
      </c>
      <c r="N42" s="86">
        <f>+IFERROR(VLOOKUP($A42,[12]Balance!$A$5:$E$1048576,3,0),0)</f>
        <v/>
      </c>
      <c r="O42" s="86">
        <f>+IFERROR(VLOOKUP($A42,'[13]1 т'!$A$5:$E$1048576,3,0),0)</f>
        <v/>
      </c>
      <c r="P42" s="86">
        <f>+IFERROR(VLOOKUP($A42,[14]Balance!$A$5:$E$1048576,3,0),0)</f>
        <v/>
      </c>
      <c r="Q42" s="86">
        <f>+IFERROR(VLOOKUP($A42,[15]Balance!$A$5:$E$1048576,3,0),0)</f>
        <v/>
      </c>
      <c r="R42" s="86">
        <f>+IFERROR(VLOOKUP($A42,'[16]1'!$A$5:$E$1048576,3,0),0)</f>
        <v/>
      </c>
      <c r="S42" s="86">
        <f>+IFERROR(VLOOKUP($A42,'[17]1'!$A$5:$E$1048576,3,0),0)</f>
        <v/>
      </c>
      <c r="T42" s="86">
        <f>+IFERROR(VLOOKUP($A42,'[18]1'!$A$5:$E$1048576,3,0),0)</f>
        <v/>
      </c>
      <c r="U42" s="86">
        <f>+IFERROR(VLOOKUP($A42,[19]Balans!$A$5:$E$1048576,3,0),0)</f>
        <v/>
      </c>
      <c r="V42" s="86">
        <f>+IFERROR(VLOOKUP($A42,'[20]1'!$A$5:$E$1048576,3,0),0)</f>
        <v/>
      </c>
      <c r="W42" s="86">
        <f>+IFERROR(VLOOKUP($A42,[21]Balance!$A$5:$E$1048576,3,0),0)</f>
        <v/>
      </c>
      <c r="X42" s="86">
        <f>+IFERROR(VLOOKUP($A42,'[22]1'!$A$5:$E$1048576,3,0),0)</f>
        <v/>
      </c>
      <c r="Y42" s="86">
        <f>+IFERROR(VLOOKUP($A42,[23]Лист1!$A$5:$E$1048576,3,0),0)</f>
        <v/>
      </c>
      <c r="Z42" s="86">
        <f>+IFERROR(VLOOKUP($A42,'[24]1'!$A$5:$E$1048576,3,0),0)</f>
        <v/>
      </c>
      <c r="AA42" s="86">
        <f>+IFERROR(VLOOKUP($A42,[25]Balance!$A$5:$E$1048576,3,0),0)</f>
        <v/>
      </c>
      <c r="AB42" s="86">
        <f>+IFERROR(VLOOKUP($A42,'[26]1'!$A$5:$E$1048576,3,0),0)</f>
        <v/>
      </c>
      <c r="AC42" s="86">
        <f>+IFERROR(VLOOKUP($A42,'[27]1'!$A$5:$E$1048576,3,0),0)</f>
        <v/>
      </c>
      <c r="AD42" s="86">
        <f>+IFERROR(VLOOKUP($A42,'[28]1'!$A$5:$E$1048576,3,0),0)</f>
        <v/>
      </c>
      <c r="AE42" s="86">
        <f>+IFERROR(VLOOKUP($A42,[29]Лист1!$A$5:$E$1048576,3,0),0)</f>
        <v/>
      </c>
      <c r="AF42" s="86">
        <f>+IFERROR(VLOOKUP($A42,'[30]1'!$A$5:$E$1048576,3,0),0)</f>
        <v/>
      </c>
      <c r="AG42" s="86">
        <f>+IFERROR(VLOOKUP($A42,'[31]1'!$A$5:$E$1048576,3,0),0)</f>
        <v/>
      </c>
      <c r="AH42" s="86">
        <f>+IFERROR(VLOOKUP($A42,'[32]1-жадвал'!$A$5:$E$1048576,3,0),0)</f>
        <v/>
      </c>
      <c r="AI42" s="248">
        <f>+IFERROR(VLOOKUP($A42,[33]Balance!$A$5:$E$1048576,3,0),0)</f>
        <v/>
      </c>
      <c r="AJ42" s="100">
        <f>+IFERROR(VLOOKUP($A42,[34]Balance!$A$5:$E$1048576,3,0),0)</f>
        <v/>
      </c>
      <c r="AK42" s="100">
        <f>+IFERROR(VLOOKUP($A42,'[35]1'!$A$5:$E$1048576,3,0),0)</f>
        <v/>
      </c>
    </row>
    <row r="43">
      <c r="A43" s="183" t="n">
        <v>14</v>
      </c>
      <c r="B43" s="87" t="inlineStr">
        <is>
          <t>Бошқа активлар, соф</t>
        </is>
      </c>
      <c r="C43" s="86">
        <f>+IFERROR(VLOOKUP($A43,[1]Лист1!$A$5:$E$1048576,3,0),0)</f>
        <v/>
      </c>
      <c r="D43" s="86">
        <f>+IFERROR(VLOOKUP($A43,'[2]1'!$A$5:$E$1048576,3,0),0)</f>
        <v/>
      </c>
      <c r="E43" s="86">
        <f>+IFERROR(VLOOKUP($A43,'[3]1'!$A$5:$E$1048576,3,0),0)</f>
        <v/>
      </c>
      <c r="F43" s="86">
        <f>+IFERROR(VLOOKUP($A43,[4]Balance!$A$5:$E$1048576,3,0),0)</f>
        <v/>
      </c>
      <c r="G43" s="86">
        <f>+IFERROR(VLOOKUP($A43,'[5]1'!$A$5:$E$1048576,3,0),0)</f>
        <v/>
      </c>
      <c r="H43" s="86">
        <f>+IFERROR(VLOOKUP($A43,[6]Balance!$A$5:$E$1048576,3,0),0)</f>
        <v/>
      </c>
      <c r="I43" s="86">
        <f>+IFERROR(VLOOKUP($A43,[7]Balance!$A$5:$E$1048576,3,0),0)</f>
        <v/>
      </c>
      <c r="J43" s="86">
        <f>+IFERROR(VLOOKUP($A43,'[8]1'!$A$5:$E$1048576,3,0),0)</f>
        <v/>
      </c>
      <c r="K43" s="86">
        <f>+IFERROR(VLOOKUP($A43,'[9]1'!$A$5:$E$1048576,3,0),0)</f>
        <v/>
      </c>
      <c r="L43" s="86">
        <f>+IFERROR(VLOOKUP($A43,'[10]1'!$A$5:$E$1048576,3,0),0)</f>
        <v/>
      </c>
      <c r="M43" s="86">
        <f>+IFERROR(VLOOKUP($A43,'[11]1'!$A$5:$E$1048576,3,0),0)</f>
        <v/>
      </c>
      <c r="N43" s="86">
        <f>+IFERROR(VLOOKUP($A43,[12]Balance!$A$5:$E$1048576,3,0),0)</f>
        <v/>
      </c>
      <c r="O43" s="86">
        <f>+IFERROR(VLOOKUP($A43,'[13]1 т'!$A$5:$E$1048576,3,0),0)</f>
        <v/>
      </c>
      <c r="P43" s="86">
        <f>+IFERROR(VLOOKUP($A43,[14]Balance!$A$5:$E$1048576,3,0),0)</f>
        <v/>
      </c>
      <c r="Q43" s="86">
        <f>+IFERROR(VLOOKUP($A43,[15]Balance!$A$5:$E$1048576,3,0),0)</f>
        <v/>
      </c>
      <c r="R43" s="86">
        <f>+IFERROR(VLOOKUP($A43,'[16]1'!$A$5:$E$1048576,3,0),0)</f>
        <v/>
      </c>
      <c r="S43" s="86">
        <f>+IFERROR(VLOOKUP($A43,'[17]1'!$A$5:$E$1048576,3,0),0)</f>
        <v/>
      </c>
      <c r="T43" s="86">
        <f>+IFERROR(VLOOKUP($A43,'[18]1'!$A$5:$E$1048576,3,0),0)</f>
        <v/>
      </c>
      <c r="U43" s="86">
        <f>+IFERROR(VLOOKUP($A43,[19]Balans!$A$5:$E$1048576,3,0),0)</f>
        <v/>
      </c>
      <c r="V43" s="86">
        <f>+IFERROR(VLOOKUP($A43,'[20]1'!$A$5:$E$1048576,3,0),0)</f>
        <v/>
      </c>
      <c r="W43" s="86">
        <f>+IFERROR(VLOOKUP($A43,[21]Balance!$A$5:$E$1048576,3,0),0)</f>
        <v/>
      </c>
      <c r="X43" s="86">
        <f>+IFERROR(VLOOKUP($A43,'[22]1'!$A$5:$E$1048576,3,0),0)</f>
        <v/>
      </c>
      <c r="Y43" s="86">
        <f>+IFERROR(VLOOKUP($A43,[23]Лист1!$A$5:$E$1048576,3,0),0)</f>
        <v/>
      </c>
      <c r="Z43" s="86">
        <f>+IFERROR(VLOOKUP($A43,'[24]1'!$A$5:$E$1048576,3,0),0)</f>
        <v/>
      </c>
      <c r="AA43" s="86">
        <f>+IFERROR(VLOOKUP($A43,[25]Balance!$A$5:$E$1048576,3,0),0)</f>
        <v/>
      </c>
      <c r="AB43" s="86">
        <f>+IFERROR(VLOOKUP($A43,'[26]1'!$A$5:$E$1048576,3,0),0)</f>
        <v/>
      </c>
      <c r="AC43" s="86">
        <f>+IFERROR(VLOOKUP($A43,'[27]1'!$A$5:$E$1048576,3,0),0)</f>
        <v/>
      </c>
      <c r="AD43" s="86">
        <f>+IFERROR(VLOOKUP($A43,'[28]1'!$A$5:$E$1048576,3,0),0)</f>
        <v/>
      </c>
      <c r="AE43" s="86">
        <f>+IFERROR(VLOOKUP($A43,[29]Лист1!$A$5:$E$1048576,3,0),0)</f>
        <v/>
      </c>
      <c r="AF43" s="86">
        <f>+IFERROR(VLOOKUP($A43,'[30]1'!$A$5:$E$1048576,3,0),0)</f>
        <v/>
      </c>
      <c r="AG43" s="86">
        <f>+IFERROR(VLOOKUP($A43,'[31]1'!$A$5:$E$1048576,3,0),0)</f>
        <v/>
      </c>
      <c r="AH43" s="86">
        <f>+IFERROR(VLOOKUP($A43,'[32]1-жадвал'!$A$5:$E$1048576,3,0),0)</f>
        <v/>
      </c>
      <c r="AI43" s="248">
        <f>+IFERROR(VLOOKUP($A43,[33]Balance!$A$5:$E$1048576,3,0),0)</f>
        <v/>
      </c>
      <c r="AJ43" s="100">
        <f>+IFERROR(VLOOKUP($A43,[34]Balance!$A$5:$E$1048576,3,0),0)</f>
        <v/>
      </c>
      <c r="AK43" s="100">
        <f>+IFERROR(VLOOKUP($A43,'[35]1'!$A$5:$E$1048576,3,0),0)</f>
        <v/>
      </c>
      <c r="AL43" s="188" t="n"/>
      <c r="AM43" s="188" t="n"/>
      <c r="AN43" s="188" t="n"/>
    </row>
    <row r="44">
      <c r="A44" s="183" t="inlineStr">
        <is>
          <t>14.1</t>
        </is>
      </c>
      <c r="B44" s="87" t="inlineStr">
        <is>
          <t>Бошқа активлар, брутто</t>
        </is>
      </c>
      <c r="C44" s="86">
        <f>+IFERROR(VLOOKUP($A44,[1]Лист1!$A$5:$E$1048576,3,0),0)</f>
        <v/>
      </c>
      <c r="D44" s="86">
        <f>+IFERROR(VLOOKUP($A44,'[2]1'!$A$5:$E$1048576,3,0),0)</f>
        <v/>
      </c>
      <c r="E44" s="86">
        <f>+IFERROR(VLOOKUP($A44,'[3]1'!$A$5:$E$1048576,3,0),0)</f>
        <v/>
      </c>
      <c r="F44" s="86">
        <f>+IFERROR(VLOOKUP($A44,[4]Balance!$A$5:$E$1048576,3,0),0)</f>
        <v/>
      </c>
      <c r="G44" s="86">
        <f>+IFERROR(VLOOKUP($A44,'[5]1'!$A$5:$E$1048576,3,0),0)</f>
        <v/>
      </c>
      <c r="H44" s="86">
        <f>+IFERROR(VLOOKUP($A44,[6]Balance!$A$5:$E$1048576,3,0),0)</f>
        <v/>
      </c>
      <c r="I44" s="86">
        <f>+IFERROR(VLOOKUP($A44,[7]Balance!$A$5:$E$1048576,3,0),0)</f>
        <v/>
      </c>
      <c r="J44" s="86">
        <f>+IFERROR(VLOOKUP($A44,'[8]1'!$A$5:$E$1048576,3,0),0)</f>
        <v/>
      </c>
      <c r="K44" s="86">
        <f>+IFERROR(VLOOKUP($A44,'[9]1'!$A$5:$E$1048576,3,0),0)</f>
        <v/>
      </c>
      <c r="L44" s="86">
        <f>+IFERROR(VLOOKUP($A44,'[10]1'!$A$5:$E$1048576,3,0),0)</f>
        <v/>
      </c>
      <c r="M44" s="86">
        <f>+IFERROR(VLOOKUP($A44,'[11]1'!$A$5:$E$1048576,3,0),0)</f>
        <v/>
      </c>
      <c r="N44" s="86">
        <f>+IFERROR(VLOOKUP($A44,[12]Balance!$A$5:$E$1048576,3,0),0)</f>
        <v/>
      </c>
      <c r="O44" s="86">
        <f>+IFERROR(VLOOKUP($A44,'[13]1 т'!$A$5:$E$1048576,3,0),0)</f>
        <v/>
      </c>
      <c r="P44" s="86">
        <f>+IFERROR(VLOOKUP($A44,[14]Balance!$A$5:$E$1048576,3,0),0)</f>
        <v/>
      </c>
      <c r="Q44" s="86">
        <f>+IFERROR(VLOOKUP($A44,[15]Balance!$A$5:$E$1048576,3,0),0)</f>
        <v/>
      </c>
      <c r="R44" s="86">
        <f>+IFERROR(VLOOKUP($A44,'[16]1'!$A$5:$E$1048576,3,0),0)</f>
        <v/>
      </c>
      <c r="S44" s="86">
        <f>+IFERROR(VLOOKUP($A44,'[17]1'!$A$5:$E$1048576,3,0),0)</f>
        <v/>
      </c>
      <c r="T44" s="86">
        <f>+IFERROR(VLOOKUP($A44,'[18]1'!$A$5:$E$1048576,3,0),0)</f>
        <v/>
      </c>
      <c r="U44" s="86">
        <f>+IFERROR(VLOOKUP($A44,[19]Balans!$A$5:$E$1048576,3,0),0)</f>
        <v/>
      </c>
      <c r="V44" s="86">
        <f>+IFERROR(VLOOKUP($A44,'[20]1'!$A$5:$E$1048576,3,0),0)</f>
        <v/>
      </c>
      <c r="W44" s="86">
        <f>+IFERROR(VLOOKUP($A44,[21]Balance!$A$5:$E$1048576,3,0),0)</f>
        <v/>
      </c>
      <c r="X44" s="86">
        <f>+IFERROR(VLOOKUP($A44,'[22]1'!$A$5:$E$1048576,3,0),0)</f>
        <v/>
      </c>
      <c r="Y44" s="86">
        <f>+IFERROR(VLOOKUP($A44,[23]Лист1!$A$5:$E$1048576,3,0),0)</f>
        <v/>
      </c>
      <c r="Z44" s="86">
        <f>+IFERROR(VLOOKUP($A44,'[24]1'!$A$5:$E$1048576,3,0),0)</f>
        <v/>
      </c>
      <c r="AA44" s="86">
        <f>+IFERROR(VLOOKUP($A44,[25]Balance!$A$5:$E$1048576,3,0),0)</f>
        <v/>
      </c>
      <c r="AB44" s="86">
        <f>+IFERROR(VLOOKUP($A44,'[26]1'!$A$5:$E$1048576,3,0),0)</f>
        <v/>
      </c>
      <c r="AC44" s="86">
        <f>+IFERROR(VLOOKUP($A44,'[27]1'!$A$5:$E$1048576,3,0),0)</f>
        <v/>
      </c>
      <c r="AD44" s="86">
        <f>+IFERROR(VLOOKUP($A44,'[28]1'!$A$5:$E$1048576,3,0),0)</f>
        <v/>
      </c>
      <c r="AE44" s="86">
        <f>+IFERROR(VLOOKUP($A44,[29]Лист1!$A$5:$E$1048576,3,0),0)</f>
        <v/>
      </c>
      <c r="AF44" s="86">
        <f>+IFERROR(VLOOKUP($A44,'[30]1'!$A$5:$E$1048576,3,0),0)</f>
        <v/>
      </c>
      <c r="AG44" s="86">
        <f>+IFERROR(VLOOKUP($A44,'[31]1'!$A$5:$E$1048576,3,0),0)</f>
        <v/>
      </c>
      <c r="AH44" s="86">
        <f>+IFERROR(VLOOKUP($A44,'[32]1-жадвал'!$A$5:$E$1048576,3,0),0)</f>
        <v/>
      </c>
      <c r="AI44" s="248">
        <f>+IFERROR(VLOOKUP($A44,[33]Balance!$A$5:$E$1048576,3,0),0)</f>
        <v/>
      </c>
      <c r="AJ44" s="100">
        <f>+IFERROR(VLOOKUP($A44,[34]Balance!$A$5:$E$1048576,3,0),0)</f>
        <v/>
      </c>
      <c r="AK44" s="100">
        <f>+IFERROR(VLOOKUP($A44,'[35]1'!$A$5:$E$1048576,3,0),0)</f>
        <v/>
      </c>
    </row>
    <row r="45">
      <c r="A45" s="183" t="inlineStr">
        <is>
          <t>14.2</t>
        </is>
      </c>
      <c r="B45" s="89" t="inlineStr">
        <is>
          <t>Минус: Кўрилиши мумкин бўлган зарарларни қоплаш захираси</t>
        </is>
      </c>
      <c r="C45" s="86">
        <f>+IFERROR(VLOOKUP($A45,[1]Лист1!$A$5:$E$1048576,3,0),0)</f>
        <v/>
      </c>
      <c r="D45" s="86">
        <f>+IFERROR(VLOOKUP($A45,'[2]1'!$A$5:$E$1048576,3,0),0)</f>
        <v/>
      </c>
      <c r="E45" s="86">
        <f>+IFERROR(VLOOKUP($A45,'[3]1'!$A$5:$E$1048576,3,0),0)</f>
        <v/>
      </c>
      <c r="F45" s="86">
        <f>+IFERROR(VLOOKUP($A45,[4]Balance!$A$5:$E$1048576,3,0),0)</f>
        <v/>
      </c>
      <c r="G45" s="86">
        <f>+IFERROR(VLOOKUP($A45,'[5]1'!$A$5:$E$1048576,3,0),0)</f>
        <v/>
      </c>
      <c r="H45" s="86">
        <f>+IFERROR(VLOOKUP($A45,[6]Balance!$A$5:$E$1048576,3,0),0)</f>
        <v/>
      </c>
      <c r="I45" s="86">
        <f>+IFERROR(VLOOKUP($A45,[7]Balance!$A$5:$E$1048576,3,0),0)</f>
        <v/>
      </c>
      <c r="J45" s="86">
        <f>+IFERROR(VLOOKUP($A45,'[8]1'!$A$5:$E$1048576,3,0),0)</f>
        <v/>
      </c>
      <c r="K45" s="86">
        <f>+IFERROR(VLOOKUP($A45,'[9]1'!$A$5:$E$1048576,3,0),0)</f>
        <v/>
      </c>
      <c r="L45" s="86">
        <f>+IFERROR(VLOOKUP($A45,'[10]1'!$A$5:$E$1048576,3,0),0)</f>
        <v/>
      </c>
      <c r="M45" s="86">
        <f>+IFERROR(VLOOKUP($A45,'[11]1'!$A$5:$E$1048576,3,0),0)</f>
        <v/>
      </c>
      <c r="N45" s="86">
        <f>+IFERROR(VLOOKUP($A45,[12]Balance!$A$5:$E$1048576,3,0),0)</f>
        <v/>
      </c>
      <c r="O45" s="86">
        <f>+IFERROR(VLOOKUP($A45,'[13]1 т'!$A$5:$E$1048576,3,0),0)</f>
        <v/>
      </c>
      <c r="P45" s="86">
        <f>+IFERROR(VLOOKUP($A45,[14]Balance!$A$5:$E$1048576,3,0),0)</f>
        <v/>
      </c>
      <c r="Q45" s="86">
        <f>+IFERROR(VLOOKUP($A45,[15]Balance!$A$5:$E$1048576,3,0),0)</f>
        <v/>
      </c>
      <c r="R45" s="86">
        <f>+IFERROR(VLOOKUP($A45,'[16]1'!$A$5:$E$1048576,3,0),0)</f>
        <v/>
      </c>
      <c r="S45" s="86">
        <f>+IFERROR(VLOOKUP($A45,'[17]1'!$A$5:$E$1048576,3,0),0)</f>
        <v/>
      </c>
      <c r="T45" s="86">
        <f>+IFERROR(VLOOKUP($A45,'[18]1'!$A$5:$E$1048576,3,0),0)</f>
        <v/>
      </c>
      <c r="U45" s="86">
        <f>+IFERROR(VLOOKUP($A45,[19]Balans!$A$5:$E$1048576,3,0),0)</f>
        <v/>
      </c>
      <c r="V45" s="86">
        <f>+IFERROR(VLOOKUP($A45,'[20]1'!$A$5:$E$1048576,3,0),0)</f>
        <v/>
      </c>
      <c r="W45" s="86">
        <f>+IFERROR(VLOOKUP($A45,[21]Balance!$A$5:$E$1048576,3,0),0)</f>
        <v/>
      </c>
      <c r="X45" s="86">
        <f>+IFERROR(VLOOKUP($A45,'[22]1'!$A$5:$E$1048576,3,0),0)</f>
        <v/>
      </c>
      <c r="Y45" s="86">
        <f>+IFERROR(VLOOKUP($A45,[23]Лист1!$A$5:$E$1048576,3,0),0)</f>
        <v/>
      </c>
      <c r="Z45" s="86">
        <f>+IFERROR(VLOOKUP($A45,'[24]1'!$A$5:$E$1048576,3,0),0)</f>
        <v/>
      </c>
      <c r="AA45" s="86">
        <f>+IFERROR(VLOOKUP($A45,[25]Balance!$A$5:$E$1048576,3,0),0)</f>
        <v/>
      </c>
      <c r="AB45" s="86">
        <f>+IFERROR(VLOOKUP($A45,'[26]1'!$A$5:$E$1048576,3,0),0)</f>
        <v/>
      </c>
      <c r="AC45" s="86">
        <f>+IFERROR(VLOOKUP($A45,'[27]1'!$A$5:$E$1048576,3,0),0)</f>
        <v/>
      </c>
      <c r="AD45" s="86">
        <f>+IFERROR(VLOOKUP($A45,'[28]1'!$A$5:$E$1048576,3,0),0)</f>
        <v/>
      </c>
      <c r="AE45" s="86">
        <f>+IFERROR(VLOOKUP($A45,[29]Лист1!$A$5:$E$1048576,3,0),0)</f>
        <v/>
      </c>
      <c r="AF45" s="86">
        <f>+IFERROR(VLOOKUP($A45,'[30]1'!$A$5:$E$1048576,3,0),0)</f>
        <v/>
      </c>
      <c r="AG45" s="86">
        <f>+IFERROR(VLOOKUP($A45,'[31]1'!$A$5:$E$1048576,3,0),0)</f>
        <v/>
      </c>
      <c r="AH45" s="86">
        <f>+IFERROR(VLOOKUP($A45,'[32]1-жадвал'!$A$5:$E$1048576,3,0),0)</f>
        <v/>
      </c>
      <c r="AI45" s="248">
        <f>+IFERROR(VLOOKUP($A45,[33]Balance!$A$5:$E$1048576,3,0),0)</f>
        <v/>
      </c>
      <c r="AJ45" s="100">
        <f>+IFERROR(VLOOKUP($A45,[34]Balance!$A$5:$E$1048576,3,0),0)</f>
        <v/>
      </c>
      <c r="AK45" s="100">
        <f>+IFERROR(VLOOKUP($A45,'[35]1'!$A$5:$E$1048576,3,0),0)</f>
        <v/>
      </c>
      <c r="AM45" s="188" t="n"/>
      <c r="AN45" s="188" t="n"/>
    </row>
    <row r="46">
      <c r="A46" s="183" t="inlineStr">
        <is>
          <t>14.3</t>
        </is>
      </c>
      <c r="B46" s="89" t="inlineStr">
        <is>
          <t>Валюталар савдоси ва валюта позициялари</t>
        </is>
      </c>
      <c r="C46" s="86">
        <f>+IFERROR(VLOOKUP($A46,[1]Лист1!$A$5:$E$1048576,3,0),0)</f>
        <v/>
      </c>
      <c r="D46" s="86">
        <f>+IFERROR(VLOOKUP($A46,'[2]1'!$A$5:$E$1048576,3,0),0)</f>
        <v/>
      </c>
      <c r="E46" s="86">
        <f>+IFERROR(VLOOKUP($A46,'[3]1'!$A$5:$E$1048576,3,0),0)</f>
        <v/>
      </c>
      <c r="F46" s="86">
        <f>+IFERROR(VLOOKUP($A46,[4]Balance!$A$5:$E$1048576,3,0),0)</f>
        <v/>
      </c>
      <c r="G46" s="86">
        <f>+IFERROR(VLOOKUP($A46,'[5]1'!$A$5:$E$1048576,3,0),0)</f>
        <v/>
      </c>
      <c r="H46" s="86">
        <f>+IFERROR(VLOOKUP($A46,[6]Balance!$A$5:$E$1048576,3,0),0)</f>
        <v/>
      </c>
      <c r="I46" s="86">
        <f>+IFERROR(VLOOKUP($A46,[7]Balance!$A$5:$E$1048576,3,0),0)</f>
        <v/>
      </c>
      <c r="J46" s="86">
        <f>+IFERROR(VLOOKUP($A46,'[8]1'!$A$5:$E$1048576,3,0),0)</f>
        <v/>
      </c>
      <c r="K46" s="86">
        <f>+IFERROR(VLOOKUP($A46,'[9]1'!$A$5:$E$1048576,3,0),0)</f>
        <v/>
      </c>
      <c r="L46" s="86">
        <f>+IFERROR(VLOOKUP($A46,'[10]1'!$A$5:$E$1048576,3,0),0)</f>
        <v/>
      </c>
      <c r="M46" s="86">
        <f>+IFERROR(VLOOKUP($A46,'[11]1'!$A$5:$E$1048576,3,0),0)</f>
        <v/>
      </c>
      <c r="N46" s="86">
        <f>+IFERROR(VLOOKUP($A46,[12]Balance!$A$5:$E$1048576,3,0),0)</f>
        <v/>
      </c>
      <c r="O46" s="86">
        <f>+IFERROR(VLOOKUP($A46,'[13]1 т'!$A$5:$E$1048576,3,0),0)</f>
        <v/>
      </c>
      <c r="P46" s="86">
        <f>+IFERROR(VLOOKUP($A46,[14]Balance!$A$5:$E$1048576,3,0),0)</f>
        <v/>
      </c>
      <c r="Q46" s="86">
        <f>+IFERROR(VLOOKUP($A46,[15]Balance!$A$5:$E$1048576,3,0),0)</f>
        <v/>
      </c>
      <c r="R46" s="86">
        <f>+IFERROR(VLOOKUP($A46,'[16]1'!$A$5:$E$1048576,3,0),0)</f>
        <v/>
      </c>
      <c r="S46" s="86">
        <f>+IFERROR(VLOOKUP($A46,'[17]1'!$A$5:$E$1048576,3,0),0)</f>
        <v/>
      </c>
      <c r="T46" s="86">
        <f>+IFERROR(VLOOKUP($A46,'[18]1'!$A$5:$E$1048576,3,0),0)</f>
        <v/>
      </c>
      <c r="U46" s="86">
        <f>+IFERROR(VLOOKUP($A46,[19]Balans!$A$5:$E$1048576,3,0),0)</f>
        <v/>
      </c>
      <c r="V46" s="86">
        <f>+IFERROR(VLOOKUP($A46,'[20]1'!$A$5:$E$1048576,3,0),0)</f>
        <v/>
      </c>
      <c r="W46" s="86">
        <f>+IFERROR(VLOOKUP($A46,[21]Balance!$A$5:$E$1048576,3,0),0)</f>
        <v/>
      </c>
      <c r="X46" s="86">
        <f>+IFERROR(VLOOKUP($A46,'[22]1'!$A$5:$E$1048576,3,0),0)</f>
        <v/>
      </c>
      <c r="Y46" s="86">
        <f>+IFERROR(VLOOKUP($A46,[23]Лист1!$A$5:$E$1048576,3,0),0)</f>
        <v/>
      </c>
      <c r="Z46" s="86">
        <f>+IFERROR(VLOOKUP($A46,'[24]1'!$A$5:$E$1048576,3,0),0)</f>
        <v/>
      </c>
      <c r="AA46" s="86">
        <f>+IFERROR(VLOOKUP($A46,[25]Balance!$A$5:$E$1048576,3,0),0)</f>
        <v/>
      </c>
      <c r="AB46" s="86">
        <f>+IFERROR(VLOOKUP($A46,'[26]1'!$A$5:$E$1048576,3,0),0)</f>
        <v/>
      </c>
      <c r="AC46" s="86">
        <f>+IFERROR(VLOOKUP($A46,'[27]1'!$A$5:$E$1048576,3,0),0)</f>
        <v/>
      </c>
      <c r="AD46" s="86">
        <f>+IFERROR(VLOOKUP($A46,'[28]1'!$A$5:$E$1048576,3,0),0)</f>
        <v/>
      </c>
      <c r="AE46" s="86">
        <f>+IFERROR(VLOOKUP($A46,[29]Лист1!$A$5:$E$1048576,3,0),0)</f>
        <v/>
      </c>
      <c r="AF46" s="86">
        <f>+IFERROR(VLOOKUP($A46,'[30]1'!$A$5:$E$1048576,3,0),0)</f>
        <v/>
      </c>
      <c r="AG46" s="86">
        <f>+IFERROR(VLOOKUP($A46,'[31]1'!$A$5:$E$1048576,3,0),0)</f>
        <v/>
      </c>
      <c r="AH46" s="86">
        <f>+IFERROR(VLOOKUP($A46,'[32]1-жадвал'!$A$5:$E$1048576,3,0),0)</f>
        <v/>
      </c>
      <c r="AI46" s="248">
        <f>+IFERROR(VLOOKUP($A46,[33]Balance!$A$5:$E$1048576,3,0),0)</f>
        <v/>
      </c>
      <c r="AJ46" s="100">
        <f>+IFERROR(VLOOKUP($A46,[34]Balance!$A$5:$E$1048576,3,0),0)</f>
        <v/>
      </c>
      <c r="AK46" s="100">
        <f>+IFERROR(VLOOKUP($A46,'[35]1'!$A$5:$E$1048576,3,0),0)</f>
        <v/>
      </c>
      <c r="AM46" s="188" t="n"/>
      <c r="AN46" s="188" t="n"/>
    </row>
    <row r="47">
      <c r="A47" s="184" t="inlineStr">
        <is>
          <t>15</t>
        </is>
      </c>
      <c r="B47" s="192" t="inlineStr">
        <is>
          <t>Жами активлар</t>
        </is>
      </c>
      <c r="C47" s="86">
        <f>+IFERROR(VLOOKUP($A47,[1]Лист1!$A$5:$E$1048576,3,0),0)</f>
        <v/>
      </c>
      <c r="D47" s="86">
        <f>+IFERROR(VLOOKUP($A47,'[2]1'!$A$5:$E$1048576,3,0),0)</f>
        <v/>
      </c>
      <c r="E47" s="86">
        <f>+IFERROR(VLOOKUP($A47,'[3]1'!$A$5:$E$1048576,3,0),0)</f>
        <v/>
      </c>
      <c r="F47" s="86">
        <f>+IFERROR(VLOOKUP($A47,[4]Balance!$A$5:$E$1048576,3,0),0)</f>
        <v/>
      </c>
      <c r="G47" s="86">
        <f>+IFERROR(VLOOKUP($A47,'[5]1'!$A$5:$E$1048576,3,0),0)</f>
        <v/>
      </c>
      <c r="H47" s="86">
        <f>+IFERROR(VLOOKUP($A47,[6]Balance!$A$5:$E$1048576,3,0),0)</f>
        <v/>
      </c>
      <c r="I47" s="86">
        <f>+IFERROR(VLOOKUP($A47,[7]Balance!$A$5:$E$1048576,3,0),0)</f>
        <v/>
      </c>
      <c r="J47" s="86">
        <f>+IFERROR(VLOOKUP($A47,'[8]1'!$A$5:$E$1048576,3,0),0)</f>
        <v/>
      </c>
      <c r="K47" s="86">
        <f>+IFERROR(VLOOKUP($A47,'[9]1'!$A$5:$E$1048576,3,0),0)</f>
        <v/>
      </c>
      <c r="L47" s="86">
        <f>+IFERROR(VLOOKUP($A47,'[10]1'!$A$5:$E$1048576,3,0),0)</f>
        <v/>
      </c>
      <c r="M47" s="86">
        <f>+IFERROR(VLOOKUP($A47,'[11]1'!$A$5:$E$1048576,3,0),0)</f>
        <v/>
      </c>
      <c r="N47" s="86">
        <f>+IFERROR(VLOOKUP($A47,[12]Balance!$A$5:$E$1048576,3,0),0)</f>
        <v/>
      </c>
      <c r="O47" s="86">
        <f>+IFERROR(VLOOKUP($A47,'[13]1 т'!$A$5:$E$1048576,3,0),0)</f>
        <v/>
      </c>
      <c r="P47" s="86">
        <f>+IFERROR(VLOOKUP($A47,[14]Balance!$A$5:$E$1048576,3,0),0)</f>
        <v/>
      </c>
      <c r="Q47" s="86">
        <f>+IFERROR(VLOOKUP($A47,[15]Balance!$A$5:$E$1048576,3,0),0)</f>
        <v/>
      </c>
      <c r="R47" s="86">
        <f>+IFERROR(VLOOKUP($A47,'[16]1'!$A$5:$E$1048576,3,0),0)</f>
        <v/>
      </c>
      <c r="S47" s="86">
        <f>+IFERROR(VLOOKUP($A47,'[17]1'!$A$5:$E$1048576,3,0),0)</f>
        <v/>
      </c>
      <c r="T47" s="86">
        <f>+IFERROR(VLOOKUP($A47,'[18]1'!$A$5:$E$1048576,3,0),0)</f>
        <v/>
      </c>
      <c r="U47" s="86">
        <f>+IFERROR(VLOOKUP($A47,[19]Balans!$A$5:$E$1048576,3,0),0)</f>
        <v/>
      </c>
      <c r="V47" s="86">
        <f>+IFERROR(VLOOKUP($A47,'[20]1'!$A$5:$E$1048576,3,0),0)</f>
        <v/>
      </c>
      <c r="W47" s="86">
        <f>+IFERROR(VLOOKUP($A47,[21]Balance!$A$5:$E$1048576,3,0),0)</f>
        <v/>
      </c>
      <c r="X47" s="86">
        <f>+IFERROR(VLOOKUP($A47,'[22]1'!$A$5:$E$1048576,3,0),0)</f>
        <v/>
      </c>
      <c r="Y47" s="86">
        <f>+IFERROR(VLOOKUP($A47,[23]Лист1!$A$5:$E$1048576,3,0),0)</f>
        <v/>
      </c>
      <c r="Z47" s="86">
        <f>+IFERROR(VLOOKUP($A47,'[24]1'!$A$5:$E$1048576,3,0),0)</f>
        <v/>
      </c>
      <c r="AA47" s="86">
        <f>+IFERROR(VLOOKUP($A47,[25]Balance!$A$5:$E$1048576,3,0),0)</f>
        <v/>
      </c>
      <c r="AB47" s="86">
        <f>+IFERROR(VLOOKUP($A47,'[26]1'!$A$5:$E$1048576,3,0),0)</f>
        <v/>
      </c>
      <c r="AC47" s="86">
        <f>+IFERROR(VLOOKUP($A47,'[27]1'!$A$5:$E$1048576,3,0),0)</f>
        <v/>
      </c>
      <c r="AD47" s="86">
        <f>+IFERROR(VLOOKUP($A47,'[28]1'!$A$5:$E$1048576,3,0),0)</f>
        <v/>
      </c>
      <c r="AE47" s="86">
        <f>+IFERROR(VLOOKUP($A47,[29]Лист1!$A$5:$E$1048576,3,0),0)</f>
        <v/>
      </c>
      <c r="AF47" s="86">
        <f>+IFERROR(VLOOKUP($A47,'[30]1'!$A$5:$E$1048576,3,0),0)</f>
        <v/>
      </c>
      <c r="AG47" s="86">
        <f>+IFERROR(VLOOKUP($A47,'[31]1'!$A$5:$E$1048576,3,0),0)</f>
        <v/>
      </c>
      <c r="AH47" s="86">
        <f>+IFERROR(VLOOKUP($A47,'[32]1-жадвал'!$A$5:$E$1048576,3,0),0)</f>
        <v/>
      </c>
      <c r="AI47" s="248">
        <f>+IFERROR(VLOOKUP($A47,[33]Balance!$A$5:$E$1048576,3,0),0)</f>
        <v/>
      </c>
      <c r="AJ47" s="100">
        <f>+IFERROR(VLOOKUP($A47,[34]Balance!$A$5:$E$1048576,3,0),0)</f>
        <v/>
      </c>
      <c r="AK47" s="100">
        <f>+IFERROR(VLOOKUP($A47,'[35]1'!$A$5:$E$1048576,3,0),0)</f>
        <v/>
      </c>
      <c r="AM47" s="188" t="n"/>
      <c r="AN47" s="188" t="n"/>
    </row>
    <row r="48">
      <c r="A48" s="183" t="n"/>
      <c r="B48" s="87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86" t="n"/>
      <c r="X48" s="86" t="n"/>
      <c r="Y48" s="86" t="n"/>
      <c r="Z48" s="86" t="n"/>
      <c r="AA48" s="185" t="n"/>
      <c r="AB48" s="86" t="n"/>
      <c r="AC48" s="86" t="n"/>
      <c r="AD48" s="86" t="n"/>
      <c r="AE48" s="86" t="n"/>
      <c r="AF48" s="86" t="n"/>
      <c r="AG48" s="86" t="n"/>
      <c r="AH48" s="86" t="n"/>
      <c r="AI48" s="248" t="n"/>
      <c r="AJ48" s="100" t="n"/>
      <c r="AK48" s="100" t="n"/>
    </row>
    <row r="49">
      <c r="A49" s="91" t="n"/>
      <c r="B49" s="92" t="inlineStr">
        <is>
          <t>МАЖБУРИЯТЛАР</t>
        </is>
      </c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186" t="n"/>
      <c r="AB49" s="93" t="n"/>
      <c r="AC49" s="93" t="n"/>
      <c r="AD49" s="93" t="n"/>
      <c r="AE49" s="93" t="n"/>
      <c r="AF49" s="93" t="n"/>
      <c r="AG49" s="93" t="n"/>
      <c r="AH49" s="93" t="n"/>
      <c r="AI49" s="249" t="n"/>
      <c r="AJ49" s="254" t="n"/>
      <c r="AK49" s="254" t="n"/>
    </row>
    <row r="50">
      <c r="A50" s="183" t="inlineStr">
        <is>
          <t>16</t>
        </is>
      </c>
      <c r="B50" s="87" t="inlineStr">
        <is>
          <t>Талаб қилиб олингунча сақланадиган депозитлар</t>
        </is>
      </c>
      <c r="C50" s="86">
        <f>+IFERROR(VLOOKUP($A50,[1]Лист1!$A$5:$E$1048576,3,0),0)</f>
        <v/>
      </c>
      <c r="D50" s="86">
        <f>+IFERROR(VLOOKUP($A50,'[2]1'!$A$5:$E$1048576,3,0),0)</f>
        <v/>
      </c>
      <c r="E50" s="86">
        <f>+IFERROR(VLOOKUP($A50,'[3]1'!$A$5:$E$1048576,3,0),0)</f>
        <v/>
      </c>
      <c r="F50" s="86">
        <f>+IFERROR(VLOOKUP($A50,[4]Balance!$A$5:$E$1048576,3,0),0)</f>
        <v/>
      </c>
      <c r="G50" s="86">
        <f>+IFERROR(VLOOKUP($A50,'[5]1'!$A$5:$E$1048576,3,0),0)</f>
        <v/>
      </c>
      <c r="H50" s="86">
        <f>+IFERROR(VLOOKUP($A50,[6]Balance!$A$5:$E$1048576,3,0),0)</f>
        <v/>
      </c>
      <c r="I50" s="86">
        <f>+IFERROR(VLOOKUP($A50,[7]Balance!$A$5:$E$1048576,3,0),0)</f>
        <v/>
      </c>
      <c r="J50" s="86">
        <f>+IFERROR(VLOOKUP($A50,'[8]1'!$A$5:$E$1048576,3,0),0)</f>
        <v/>
      </c>
      <c r="K50" s="86">
        <f>+IFERROR(VLOOKUP($A50,'[9]1'!$A$5:$E$1048576,3,0),0)</f>
        <v/>
      </c>
      <c r="L50" s="86">
        <f>+IFERROR(VLOOKUP($A50,'[10]1'!$A$5:$E$1048576,3,0),0)</f>
        <v/>
      </c>
      <c r="M50" s="86">
        <f>+IFERROR(VLOOKUP($A50,'[11]1'!$A$5:$E$1048576,3,0),0)</f>
        <v/>
      </c>
      <c r="N50" s="86">
        <f>+IFERROR(VLOOKUP($A50,[12]Balance!$A$5:$E$1048576,3,0),0)</f>
        <v/>
      </c>
      <c r="O50" s="86">
        <f>+IFERROR(VLOOKUP($A50,'[13]1 т'!$A$5:$E$1048576,3,0),0)</f>
        <v/>
      </c>
      <c r="P50" s="86">
        <f>+IFERROR(VLOOKUP($A50,[14]Balance!$A$5:$E$1048576,3,0),0)</f>
        <v/>
      </c>
      <c r="Q50" s="86">
        <f>+IFERROR(VLOOKUP($A50,[15]Balance!$A$5:$E$1048576,3,0),0)</f>
        <v/>
      </c>
      <c r="R50" s="86">
        <f>+IFERROR(VLOOKUP($A50,'[16]1'!$A$5:$E$1048576,3,0),0)</f>
        <v/>
      </c>
      <c r="S50" s="86">
        <f>+IFERROR(VLOOKUP($A50,'[17]1'!$A$5:$E$1048576,3,0),0)</f>
        <v/>
      </c>
      <c r="T50" s="86">
        <f>+IFERROR(VLOOKUP($A50,'[18]1'!$A$5:$E$1048576,3,0),0)</f>
        <v/>
      </c>
      <c r="U50" s="86">
        <f>+IFERROR(VLOOKUP($A50,[19]Balans!$A$5:$E$1048576,3,0),0)</f>
        <v/>
      </c>
      <c r="V50" s="86">
        <f>+IFERROR(VLOOKUP($A50,'[20]1'!$A$5:$E$1048576,3,0),0)</f>
        <v/>
      </c>
      <c r="W50" s="86">
        <f>+IFERROR(VLOOKUP($A50,[21]Balance!$A$5:$E$1048576,3,0),0)</f>
        <v/>
      </c>
      <c r="X50" s="86">
        <f>+IFERROR(VLOOKUP($A50,'[22]1'!$A$5:$E$1048576,3,0),0)</f>
        <v/>
      </c>
      <c r="Y50" s="86">
        <f>+IFERROR(VLOOKUP($A50,[23]Лист1!$A$5:$E$1048576,3,0),0)</f>
        <v/>
      </c>
      <c r="Z50" s="86">
        <f>+IFERROR(VLOOKUP($A50,'[24]1'!$A$5:$E$1048576,3,0),0)</f>
        <v/>
      </c>
      <c r="AA50" s="86">
        <f>+IFERROR(VLOOKUP($A50,[25]Balance!$A$5:$E$1048576,3,0),0)</f>
        <v/>
      </c>
      <c r="AB50" s="86">
        <f>+IFERROR(VLOOKUP($A50,'[26]1'!$A$5:$E$1048576,3,0),0)</f>
        <v/>
      </c>
      <c r="AC50" s="86">
        <f>+IFERROR(VLOOKUP($A50,'[27]1'!$A$5:$E$1048576,3,0),0)</f>
        <v/>
      </c>
      <c r="AD50" s="86">
        <f>+IFERROR(VLOOKUP($A50,'[28]1'!$A$5:$E$1048576,3,0),0)</f>
        <v/>
      </c>
      <c r="AE50" s="86">
        <f>+IFERROR(VLOOKUP($A50,[29]Лист1!$A$5:$E$1048576,3,0),0)</f>
        <v/>
      </c>
      <c r="AF50" s="86">
        <f>+IFERROR(VLOOKUP($A50,'[30]1'!$A$5:$E$1048576,3,0),0)</f>
        <v/>
      </c>
      <c r="AG50" s="86">
        <f>+IFERROR(VLOOKUP($A50,'[31]1'!$A$5:$E$1048576,3,0),0)</f>
        <v/>
      </c>
      <c r="AH50" s="86">
        <f>+IFERROR(VLOOKUP($A50,'[32]1-жадвал'!$A$5:$E$1048576,3,0),0)</f>
        <v/>
      </c>
      <c r="AI50" s="248">
        <f>+IFERROR(VLOOKUP($A50,[33]Balance!$A$5:$E$1048576,3,0),0)</f>
        <v/>
      </c>
      <c r="AJ50" s="100">
        <f>+IFERROR(VLOOKUP($A50,[34]Balance!$A$5:$E$1048576,3,0),0)</f>
        <v/>
      </c>
      <c r="AK50" s="100">
        <f>+IFERROR(VLOOKUP($A50,'[35]1'!$A$5:$E$1048576,3,0),0)</f>
        <v/>
      </c>
    </row>
    <row r="51">
      <c r="A51" s="183" t="inlineStr">
        <is>
          <t>17</t>
        </is>
      </c>
      <c r="B51" s="87" t="inlineStr">
        <is>
          <t>Муддатли депозитлар</t>
        </is>
      </c>
      <c r="C51" s="86">
        <f>+IFERROR(VLOOKUP($A51,[1]Лист1!$A$5:$E$1048576,3,0),0)</f>
        <v/>
      </c>
      <c r="D51" s="86">
        <f>+IFERROR(VLOOKUP($A51,'[2]1'!$A$5:$E$1048576,3,0),0)</f>
        <v/>
      </c>
      <c r="E51" s="86">
        <f>+IFERROR(VLOOKUP($A51,'[3]1'!$A$5:$E$1048576,3,0),0)</f>
        <v/>
      </c>
      <c r="F51" s="86">
        <f>+IFERROR(VLOOKUP($A51,[4]Balance!$A$5:$E$1048576,3,0),0)</f>
        <v/>
      </c>
      <c r="G51" s="86">
        <f>+IFERROR(VLOOKUP($A51,'[5]1'!$A$5:$E$1048576,3,0),0)</f>
        <v/>
      </c>
      <c r="H51" s="86">
        <f>+IFERROR(VLOOKUP($A51,[6]Balance!$A$5:$E$1048576,3,0),0)</f>
        <v/>
      </c>
      <c r="I51" s="86">
        <f>+IFERROR(VLOOKUP($A51,[7]Balance!$A$5:$E$1048576,3,0),0)</f>
        <v/>
      </c>
      <c r="J51" s="86">
        <f>+IFERROR(VLOOKUP($A51,'[8]1'!$A$5:$E$1048576,3,0),0)</f>
        <v/>
      </c>
      <c r="K51" s="86">
        <f>+IFERROR(VLOOKUP($A51,'[9]1'!$A$5:$E$1048576,3,0),0)</f>
        <v/>
      </c>
      <c r="L51" s="86">
        <f>+IFERROR(VLOOKUP($A51,'[10]1'!$A$5:$E$1048576,3,0),0)</f>
        <v/>
      </c>
      <c r="M51" s="86">
        <f>+IFERROR(VLOOKUP($A51,'[11]1'!$A$5:$E$1048576,3,0),0)</f>
        <v/>
      </c>
      <c r="N51" s="86">
        <f>+IFERROR(VLOOKUP($A51,[12]Balance!$A$5:$E$1048576,3,0),0)</f>
        <v/>
      </c>
      <c r="O51" s="86">
        <f>+IFERROR(VLOOKUP($A51,'[13]1 т'!$A$5:$E$1048576,3,0),0)</f>
        <v/>
      </c>
      <c r="P51" s="86">
        <f>+IFERROR(VLOOKUP($A51,[14]Balance!$A$5:$E$1048576,3,0),0)</f>
        <v/>
      </c>
      <c r="Q51" s="86">
        <f>+IFERROR(VLOOKUP($A51,[15]Balance!$A$5:$E$1048576,3,0),0)</f>
        <v/>
      </c>
      <c r="R51" s="86">
        <f>+IFERROR(VLOOKUP($A51,'[16]1'!$A$5:$E$1048576,3,0),0)</f>
        <v/>
      </c>
      <c r="S51" s="86">
        <f>+IFERROR(VLOOKUP($A51,'[17]1'!$A$5:$E$1048576,3,0),0)</f>
        <v/>
      </c>
      <c r="T51" s="86">
        <f>+IFERROR(VLOOKUP($A51,'[18]1'!$A$5:$E$1048576,3,0),0)</f>
        <v/>
      </c>
      <c r="U51" s="86">
        <f>+IFERROR(VLOOKUP($A51,[19]Balans!$A$5:$E$1048576,3,0),0)</f>
        <v/>
      </c>
      <c r="V51" s="86">
        <f>+IFERROR(VLOOKUP($A51,'[20]1'!$A$5:$E$1048576,3,0),0)</f>
        <v/>
      </c>
      <c r="W51" s="86">
        <f>+IFERROR(VLOOKUP($A51,[21]Balance!$A$5:$E$1048576,3,0),0)</f>
        <v/>
      </c>
      <c r="X51" s="86">
        <f>+IFERROR(VLOOKUP($A51,'[22]1'!$A$5:$E$1048576,3,0),0)</f>
        <v/>
      </c>
      <c r="Y51" s="86">
        <f>+IFERROR(VLOOKUP($A51,[23]Лист1!$A$5:$E$1048576,3,0),0)</f>
        <v/>
      </c>
      <c r="Z51" s="86">
        <f>+IFERROR(VLOOKUP($A51,'[24]1'!$A$5:$E$1048576,3,0),0)</f>
        <v/>
      </c>
      <c r="AA51" s="86">
        <f>+IFERROR(VLOOKUP($A51,[25]Balance!$A$5:$E$1048576,3,0),0)</f>
        <v/>
      </c>
      <c r="AB51" s="86">
        <f>+IFERROR(VLOOKUP($A51,'[26]1'!$A$5:$E$1048576,3,0),0)</f>
        <v/>
      </c>
      <c r="AC51" s="86">
        <f>+IFERROR(VLOOKUP($A51,'[27]1'!$A$5:$E$1048576,3,0),0)</f>
        <v/>
      </c>
      <c r="AD51" s="86">
        <f>+IFERROR(VLOOKUP($A51,'[28]1'!$A$5:$E$1048576,3,0),0)</f>
        <v/>
      </c>
      <c r="AE51" s="86">
        <f>+IFERROR(VLOOKUP($A51,[29]Лист1!$A$5:$E$1048576,3,0),0)</f>
        <v/>
      </c>
      <c r="AF51" s="86">
        <f>+IFERROR(VLOOKUP($A51,'[30]1'!$A$5:$E$1048576,3,0),0)</f>
        <v/>
      </c>
      <c r="AG51" s="86">
        <f>+IFERROR(VLOOKUP($A51,'[31]1'!$A$5:$E$1048576,3,0),0)</f>
        <v/>
      </c>
      <c r="AH51" s="86">
        <f>+IFERROR(VLOOKUP($A51,'[32]1-жадвал'!$A$5:$E$1048576,3,0),0)</f>
        <v/>
      </c>
      <c r="AI51" s="248">
        <f>+IFERROR(VLOOKUP($A51,[33]Balance!$A$5:$E$1048576,3,0),0)</f>
        <v/>
      </c>
      <c r="AJ51" s="100">
        <f>+IFERROR(VLOOKUP($A51,[34]Balance!$A$5:$E$1048576,3,0),0)</f>
        <v/>
      </c>
      <c r="AK51" s="100">
        <f>+IFERROR(VLOOKUP($A51,'[35]1'!$A$5:$E$1048576,3,0),0)</f>
        <v/>
      </c>
    </row>
    <row r="52">
      <c r="A52" s="183" t="inlineStr">
        <is>
          <t>18</t>
        </is>
      </c>
      <c r="B52" s="87" t="inlineStr">
        <is>
          <t>Марказий банкка тўланиши лозим бўлган маблағлар</t>
        </is>
      </c>
      <c r="C52" s="86">
        <f>+IFERROR(VLOOKUP($A52,[1]Лист1!$A$5:$E$1048576,3,0),0)</f>
        <v/>
      </c>
      <c r="D52" s="86">
        <f>+IFERROR(VLOOKUP($A52,'[2]1'!$A$5:$E$1048576,3,0),0)</f>
        <v/>
      </c>
      <c r="E52" s="86">
        <f>+IFERROR(VLOOKUP($A52,'[3]1'!$A$5:$E$1048576,3,0),0)</f>
        <v/>
      </c>
      <c r="F52" s="86">
        <f>+IFERROR(VLOOKUP($A52,[4]Balance!$A$5:$E$1048576,3,0),0)</f>
        <v/>
      </c>
      <c r="G52" s="86">
        <f>+IFERROR(VLOOKUP($A52,'[5]1'!$A$5:$E$1048576,3,0),0)</f>
        <v/>
      </c>
      <c r="H52" s="86">
        <f>+IFERROR(VLOOKUP($A52,[6]Balance!$A$5:$E$1048576,3,0),0)</f>
        <v/>
      </c>
      <c r="I52" s="86">
        <f>+IFERROR(VLOOKUP($A52,[7]Balance!$A$5:$E$1048576,3,0),0)</f>
        <v/>
      </c>
      <c r="J52" s="86">
        <f>+IFERROR(VLOOKUP($A52,'[8]1'!$A$5:$E$1048576,3,0),0)</f>
        <v/>
      </c>
      <c r="K52" s="86">
        <f>+IFERROR(VLOOKUP($A52,'[9]1'!$A$5:$E$1048576,3,0),0)</f>
        <v/>
      </c>
      <c r="L52" s="86">
        <f>+IFERROR(VLOOKUP($A52,'[10]1'!$A$5:$E$1048576,3,0),0)</f>
        <v/>
      </c>
      <c r="M52" s="86">
        <f>+IFERROR(VLOOKUP($A52,'[11]1'!$A$5:$E$1048576,3,0),0)</f>
        <v/>
      </c>
      <c r="N52" s="86">
        <f>+IFERROR(VLOOKUP($A52,[12]Balance!$A$5:$E$1048576,3,0),0)</f>
        <v/>
      </c>
      <c r="O52" s="86">
        <f>+IFERROR(VLOOKUP($A52,'[13]1 т'!$A$5:$E$1048576,3,0),0)</f>
        <v/>
      </c>
      <c r="P52" s="86">
        <f>+IFERROR(VLOOKUP($A52,[14]Balance!$A$5:$E$1048576,3,0),0)</f>
        <v/>
      </c>
      <c r="Q52" s="86">
        <f>+IFERROR(VLOOKUP($A52,[15]Balance!$A$5:$E$1048576,3,0),0)</f>
        <v/>
      </c>
      <c r="R52" s="86">
        <f>+IFERROR(VLOOKUP($A52,'[16]1'!$A$5:$E$1048576,3,0),0)</f>
        <v/>
      </c>
      <c r="S52" s="86">
        <f>+IFERROR(VLOOKUP($A52,'[17]1'!$A$5:$E$1048576,3,0),0)</f>
        <v/>
      </c>
      <c r="T52" s="86">
        <f>+IFERROR(VLOOKUP($A52,'[18]1'!$A$5:$E$1048576,3,0),0)</f>
        <v/>
      </c>
      <c r="U52" s="86">
        <f>+IFERROR(VLOOKUP($A52,[19]Balans!$A$5:$E$1048576,3,0),0)</f>
        <v/>
      </c>
      <c r="V52" s="86">
        <f>+IFERROR(VLOOKUP($A52,'[20]1'!$A$5:$E$1048576,3,0),0)</f>
        <v/>
      </c>
      <c r="W52" s="86">
        <f>+IFERROR(VLOOKUP($A52,[21]Balance!$A$5:$E$1048576,3,0),0)</f>
        <v/>
      </c>
      <c r="X52" s="86">
        <f>+IFERROR(VLOOKUP($A52,'[22]1'!$A$5:$E$1048576,3,0),0)</f>
        <v/>
      </c>
      <c r="Y52" s="86">
        <f>+IFERROR(VLOOKUP($A52,[23]Лист1!$A$5:$E$1048576,3,0),0)</f>
        <v/>
      </c>
      <c r="Z52" s="86">
        <f>+IFERROR(VLOOKUP($A52,'[24]1'!$A$5:$E$1048576,3,0),0)</f>
        <v/>
      </c>
      <c r="AA52" s="86">
        <f>+IFERROR(VLOOKUP($A52,[25]Balance!$A$5:$E$1048576,3,0),0)</f>
        <v/>
      </c>
      <c r="AB52" s="86">
        <f>+IFERROR(VLOOKUP($A52,'[26]1'!$A$5:$E$1048576,3,0),0)</f>
        <v/>
      </c>
      <c r="AC52" s="86">
        <f>+IFERROR(VLOOKUP($A52,'[27]1'!$A$5:$E$1048576,3,0),0)</f>
        <v/>
      </c>
      <c r="AD52" s="86">
        <f>+IFERROR(VLOOKUP($A52,'[28]1'!$A$5:$E$1048576,3,0),0)</f>
        <v/>
      </c>
      <c r="AE52" s="86">
        <f>+IFERROR(VLOOKUP($A52,[29]Лист1!$A$5:$E$1048576,3,0),0)</f>
        <v/>
      </c>
      <c r="AF52" s="86">
        <f>+IFERROR(VLOOKUP($A52,'[30]1'!$A$5:$E$1048576,3,0),0)</f>
        <v/>
      </c>
      <c r="AG52" s="86">
        <f>+IFERROR(VLOOKUP($A52,'[31]1'!$A$5:$E$1048576,3,0),0)</f>
        <v/>
      </c>
      <c r="AH52" s="86">
        <f>+IFERROR(VLOOKUP($A52,'[32]1-жадвал'!$A$5:$E$1048576,3,0),0)</f>
        <v/>
      </c>
      <c r="AI52" s="248">
        <f>+IFERROR(VLOOKUP($A52,[33]Balance!$A$5:$E$1048576,3,0),0)</f>
        <v/>
      </c>
      <c r="AJ52" s="100">
        <f>+IFERROR(VLOOKUP($A52,[34]Balance!$A$5:$E$1048576,3,0),0)</f>
        <v/>
      </c>
      <c r="AK52" s="100">
        <f>+IFERROR(VLOOKUP($A52,'[35]1'!$A$5:$E$1048576,3,0),0)</f>
        <v/>
      </c>
    </row>
    <row r="53" ht="25.5" customHeight="1">
      <c r="A53" s="183" t="inlineStr">
        <is>
          <t>19</t>
        </is>
      </c>
      <c r="B53" s="87" t="inlineStr">
        <is>
          <t>Бошқа банклар ва молиявий ташкилотларнинг ҳисобварақлари</t>
        </is>
      </c>
      <c r="C53" s="86">
        <f>+IFERROR(VLOOKUP($A53,[1]Лист1!$A$5:$E$1048576,3,0),0)</f>
        <v/>
      </c>
      <c r="D53" s="86">
        <f>+IFERROR(VLOOKUP($A53,'[2]1'!$A$5:$E$1048576,3,0),0)</f>
        <v/>
      </c>
      <c r="E53" s="86">
        <f>+IFERROR(VLOOKUP($A53,'[3]1'!$A$5:$E$1048576,3,0),0)</f>
        <v/>
      </c>
      <c r="F53" s="86">
        <f>+IFERROR(VLOOKUP($A53,[4]Balance!$A$5:$E$1048576,3,0),0)</f>
        <v/>
      </c>
      <c r="G53" s="86">
        <f>+IFERROR(VLOOKUP($A53,'[5]1'!$A$5:$E$1048576,3,0),0)</f>
        <v/>
      </c>
      <c r="H53" s="86">
        <f>+IFERROR(VLOOKUP($A53,[6]Balance!$A$5:$E$1048576,3,0),0)</f>
        <v/>
      </c>
      <c r="I53" s="86">
        <f>+IFERROR(VLOOKUP($A53,[7]Balance!$A$5:$E$1048576,3,0),0)</f>
        <v/>
      </c>
      <c r="J53" s="86">
        <f>+IFERROR(VLOOKUP($A53,'[8]1'!$A$5:$E$1048576,3,0),0)</f>
        <v/>
      </c>
      <c r="K53" s="86">
        <f>+IFERROR(VLOOKUP($A53,'[9]1'!$A$5:$E$1048576,3,0),0)</f>
        <v/>
      </c>
      <c r="L53" s="86">
        <f>+IFERROR(VLOOKUP($A53,'[10]1'!$A$5:$E$1048576,3,0),0)</f>
        <v/>
      </c>
      <c r="M53" s="86">
        <f>+IFERROR(VLOOKUP($A53,'[11]1'!$A$5:$E$1048576,3,0),0)</f>
        <v/>
      </c>
      <c r="N53" s="86">
        <f>+IFERROR(VLOOKUP($A53,[12]Balance!$A$5:$E$1048576,3,0),0)</f>
        <v/>
      </c>
      <c r="O53" s="86">
        <f>+IFERROR(VLOOKUP($A53,'[13]1 т'!$A$5:$E$1048576,3,0),0)</f>
        <v/>
      </c>
      <c r="P53" s="86">
        <f>+IFERROR(VLOOKUP($A53,[14]Balance!$A$5:$E$1048576,3,0),0)</f>
        <v/>
      </c>
      <c r="Q53" s="86">
        <f>+IFERROR(VLOOKUP($A53,[15]Balance!$A$5:$E$1048576,3,0),0)</f>
        <v/>
      </c>
      <c r="R53" s="86">
        <f>+IFERROR(VLOOKUP($A53,'[16]1'!$A$5:$E$1048576,3,0),0)</f>
        <v/>
      </c>
      <c r="S53" s="86">
        <f>+IFERROR(VLOOKUP($A53,'[17]1'!$A$5:$E$1048576,3,0),0)</f>
        <v/>
      </c>
      <c r="T53" s="86">
        <f>+IFERROR(VLOOKUP($A53,'[18]1'!$A$5:$E$1048576,3,0),0)</f>
        <v/>
      </c>
      <c r="U53" s="86">
        <f>+IFERROR(VLOOKUP($A53,[19]Balans!$A$5:$E$1048576,3,0),0)</f>
        <v/>
      </c>
      <c r="V53" s="86">
        <f>+IFERROR(VLOOKUP($A53,'[20]1'!$A$5:$E$1048576,3,0),0)</f>
        <v/>
      </c>
      <c r="W53" s="86">
        <f>+IFERROR(VLOOKUP($A53,[21]Balance!$A$5:$E$1048576,3,0),0)</f>
        <v/>
      </c>
      <c r="X53" s="86">
        <f>+IFERROR(VLOOKUP($A53,'[22]1'!$A$5:$E$1048576,3,0),0)</f>
        <v/>
      </c>
      <c r="Y53" s="86">
        <f>+IFERROR(VLOOKUP($A53,[23]Лист1!$A$5:$E$1048576,3,0),0)</f>
        <v/>
      </c>
      <c r="Z53" s="86">
        <f>+IFERROR(VLOOKUP($A53,'[24]1'!$A$5:$E$1048576,3,0),0)</f>
        <v/>
      </c>
      <c r="AA53" s="86">
        <f>+IFERROR(VLOOKUP($A53,[25]Balance!$A$5:$E$1048576,3,0),0)</f>
        <v/>
      </c>
      <c r="AB53" s="86">
        <f>+IFERROR(VLOOKUP($A53,'[26]1'!$A$5:$E$1048576,3,0),0)</f>
        <v/>
      </c>
      <c r="AC53" s="86">
        <f>+IFERROR(VLOOKUP($A53,'[27]1'!$A$5:$E$1048576,3,0),0)</f>
        <v/>
      </c>
      <c r="AD53" s="86">
        <f>+IFERROR(VLOOKUP($A53,'[28]1'!$A$5:$E$1048576,3,0),0)</f>
        <v/>
      </c>
      <c r="AE53" s="86">
        <f>+IFERROR(VLOOKUP($A53,[29]Лист1!$A$5:$E$1048576,3,0),0)</f>
        <v/>
      </c>
      <c r="AF53" s="86">
        <f>+IFERROR(VLOOKUP($A53,'[30]1'!$A$5:$E$1048576,3,0),0)</f>
        <v/>
      </c>
      <c r="AG53" s="86">
        <f>+IFERROR(VLOOKUP($A53,'[31]1'!$A$5:$E$1048576,3,0),0)</f>
        <v/>
      </c>
      <c r="AH53" s="86">
        <f>+IFERROR(VLOOKUP($A53,'[32]1-жадвал'!$A$5:$E$1048576,3,0),0)</f>
        <v/>
      </c>
      <c r="AI53" s="248">
        <f>+IFERROR(VLOOKUP($A53,[33]Balance!$A$5:$E$1048576,3,0),0)</f>
        <v/>
      </c>
      <c r="AJ53" s="100">
        <f>+IFERROR(VLOOKUP($A53,[34]Balance!$A$5:$E$1048576,3,0),0)</f>
        <v/>
      </c>
      <c r="AK53" s="100">
        <f>+IFERROR(VLOOKUP($A53,'[35]1'!$A$5:$E$1048576,3,0),0)</f>
        <v/>
      </c>
    </row>
    <row r="54">
      <c r="A54" s="183" t="inlineStr">
        <is>
          <t>20</t>
        </is>
      </c>
      <c r="B54" s="87" t="inlineStr">
        <is>
          <t>РЕПО битимлари бўйича сотилган қимматли қоғозлар</t>
        </is>
      </c>
      <c r="C54" s="86">
        <f>+IFERROR(VLOOKUP($A54,[1]Лист1!$A$5:$E$1048576,3,0),0)</f>
        <v/>
      </c>
      <c r="D54" s="86">
        <f>+IFERROR(VLOOKUP($A54,'[2]1'!$A$5:$E$1048576,3,0),0)</f>
        <v/>
      </c>
      <c r="E54" s="86">
        <f>+IFERROR(VLOOKUP($A54,'[3]1'!$A$5:$E$1048576,3,0),0)</f>
        <v/>
      </c>
      <c r="F54" s="86">
        <f>+IFERROR(VLOOKUP($A54,[4]Balance!$A$5:$E$1048576,3,0),0)</f>
        <v/>
      </c>
      <c r="G54" s="86">
        <f>+IFERROR(VLOOKUP($A54,'[5]1'!$A$5:$E$1048576,3,0),0)</f>
        <v/>
      </c>
      <c r="H54" s="86">
        <f>+IFERROR(VLOOKUP($A54,[6]Balance!$A$5:$E$1048576,3,0),0)</f>
        <v/>
      </c>
      <c r="I54" s="86">
        <f>+IFERROR(VLOOKUP($A54,[7]Balance!$A$5:$E$1048576,3,0),0)</f>
        <v/>
      </c>
      <c r="J54" s="86">
        <f>+IFERROR(VLOOKUP($A54,'[8]1'!$A$5:$E$1048576,3,0),0)</f>
        <v/>
      </c>
      <c r="K54" s="86">
        <f>+IFERROR(VLOOKUP($A54,'[9]1'!$A$5:$E$1048576,3,0),0)</f>
        <v/>
      </c>
      <c r="L54" s="86">
        <f>+IFERROR(VLOOKUP($A54,'[10]1'!$A$5:$E$1048576,3,0),0)</f>
        <v/>
      </c>
      <c r="M54" s="86">
        <f>+IFERROR(VLOOKUP($A54,'[11]1'!$A$5:$E$1048576,3,0),0)</f>
        <v/>
      </c>
      <c r="N54" s="86">
        <f>+IFERROR(VLOOKUP($A54,[12]Balance!$A$5:$E$1048576,3,0),0)</f>
        <v/>
      </c>
      <c r="O54" s="86">
        <f>+IFERROR(VLOOKUP($A54,'[13]1 т'!$A$5:$E$1048576,3,0),0)</f>
        <v/>
      </c>
      <c r="P54" s="86">
        <f>+IFERROR(VLOOKUP($A54,[14]Balance!$A$5:$E$1048576,3,0),0)</f>
        <v/>
      </c>
      <c r="Q54" s="86">
        <f>+IFERROR(VLOOKUP($A54,[15]Balance!$A$5:$E$1048576,3,0),0)</f>
        <v/>
      </c>
      <c r="R54" s="86">
        <f>+IFERROR(VLOOKUP($A54,'[16]1'!$A$5:$E$1048576,3,0),0)</f>
        <v/>
      </c>
      <c r="S54" s="86">
        <f>+IFERROR(VLOOKUP($A54,'[17]1'!$A$5:$E$1048576,3,0),0)</f>
        <v/>
      </c>
      <c r="T54" s="86">
        <f>+IFERROR(VLOOKUP($A54,'[18]1'!$A$5:$E$1048576,3,0),0)</f>
        <v/>
      </c>
      <c r="U54" s="86">
        <f>+IFERROR(VLOOKUP($A54,[19]Balans!$A$5:$E$1048576,3,0),0)</f>
        <v/>
      </c>
      <c r="V54" s="86">
        <f>+IFERROR(VLOOKUP($A54,'[20]1'!$A$5:$E$1048576,3,0),0)</f>
        <v/>
      </c>
      <c r="W54" s="86">
        <f>+IFERROR(VLOOKUP($A54,[21]Balance!$A$5:$E$1048576,3,0),0)</f>
        <v/>
      </c>
      <c r="X54" s="86">
        <f>+IFERROR(VLOOKUP($A54,'[22]1'!$A$5:$E$1048576,3,0),0)</f>
        <v/>
      </c>
      <c r="Y54" s="86">
        <f>+IFERROR(VLOOKUP($A54,[23]Лист1!$A$5:$E$1048576,3,0),0)</f>
        <v/>
      </c>
      <c r="Z54" s="86">
        <f>+IFERROR(VLOOKUP($A54,'[24]1'!$A$5:$E$1048576,3,0),0)</f>
        <v/>
      </c>
      <c r="AA54" s="86">
        <f>+IFERROR(VLOOKUP($A54,[25]Balance!$A$5:$E$1048576,3,0),0)</f>
        <v/>
      </c>
      <c r="AB54" s="86">
        <f>+IFERROR(VLOOKUP($A54,'[26]1'!$A$5:$E$1048576,3,0),0)</f>
        <v/>
      </c>
      <c r="AC54" s="86">
        <f>+IFERROR(VLOOKUP($A54,'[27]1'!$A$5:$E$1048576,3,0),0)</f>
        <v/>
      </c>
      <c r="AD54" s="86">
        <f>+IFERROR(VLOOKUP($A54,'[28]1'!$A$5:$E$1048576,3,0),0)</f>
        <v/>
      </c>
      <c r="AE54" s="86">
        <f>+IFERROR(VLOOKUP($A54,[29]Лист1!$A$5:$E$1048576,3,0),0)</f>
        <v/>
      </c>
      <c r="AF54" s="86">
        <f>+IFERROR(VLOOKUP($A54,'[30]1'!$A$5:$E$1048576,3,0),0)</f>
        <v/>
      </c>
      <c r="AG54" s="86">
        <f>+IFERROR(VLOOKUP($A54,'[31]1'!$A$5:$E$1048576,3,0),0)</f>
        <v/>
      </c>
      <c r="AH54" s="86">
        <f>+IFERROR(VLOOKUP($A54,'[32]1-жадвал'!$A$5:$E$1048576,3,0),0)</f>
        <v/>
      </c>
      <c r="AI54" s="248">
        <f>+IFERROR(VLOOKUP($A54,[33]Balance!$A$5:$E$1048576,3,0),0)</f>
        <v/>
      </c>
      <c r="AJ54" s="100">
        <f>+IFERROR(VLOOKUP($A54,[34]Balance!$A$5:$E$1048576,3,0),0)</f>
        <v/>
      </c>
      <c r="AK54" s="100">
        <f>+IFERROR(VLOOKUP($A54,'[35]1'!$A$5:$E$1048576,3,0),0)</f>
        <v/>
      </c>
    </row>
    <row r="55">
      <c r="A55" s="183" t="inlineStr">
        <is>
          <t>21</t>
        </is>
      </c>
      <c r="B55" s="87" t="inlineStr">
        <is>
          <t>Кредит ва лизинг операциялари бўйича мажбуриятлар</t>
        </is>
      </c>
      <c r="C55" s="86">
        <f>+IFERROR(VLOOKUP($A55,[1]Лист1!$A$5:$E$1048576,3,0),0)</f>
        <v/>
      </c>
      <c r="D55" s="86">
        <f>+IFERROR(VLOOKUP($A55,'[2]1'!$A$5:$E$1048576,3,0),0)</f>
        <v/>
      </c>
      <c r="E55" s="86">
        <f>+IFERROR(VLOOKUP($A55,'[3]1'!$A$5:$E$1048576,3,0),0)</f>
        <v/>
      </c>
      <c r="F55" s="86">
        <f>+IFERROR(VLOOKUP($A55,[4]Balance!$A$5:$E$1048576,3,0),0)</f>
        <v/>
      </c>
      <c r="G55" s="86">
        <f>+IFERROR(VLOOKUP($A55,'[5]1'!$A$5:$E$1048576,3,0),0)</f>
        <v/>
      </c>
      <c r="H55" s="86">
        <f>+IFERROR(VLOOKUP($A55,[6]Balance!$A$5:$E$1048576,3,0),0)</f>
        <v/>
      </c>
      <c r="I55" s="86">
        <f>+IFERROR(VLOOKUP($A55,[7]Balance!$A$5:$E$1048576,3,0),0)</f>
        <v/>
      </c>
      <c r="J55" s="86">
        <f>+IFERROR(VLOOKUP($A55,'[8]1'!$A$5:$E$1048576,3,0),0)</f>
        <v/>
      </c>
      <c r="K55" s="86">
        <f>+IFERROR(VLOOKUP($A55,'[9]1'!$A$5:$E$1048576,3,0),0)</f>
        <v/>
      </c>
      <c r="L55" s="86">
        <f>+IFERROR(VLOOKUP($A55,'[10]1'!$A$5:$E$1048576,3,0),0)</f>
        <v/>
      </c>
      <c r="M55" s="86">
        <f>+IFERROR(VLOOKUP($A55,'[11]1'!$A$5:$E$1048576,3,0),0)</f>
        <v/>
      </c>
      <c r="N55" s="86">
        <f>+IFERROR(VLOOKUP($A55,[12]Balance!$A$5:$E$1048576,3,0),0)</f>
        <v/>
      </c>
      <c r="O55" s="86">
        <f>+IFERROR(VLOOKUP($A55,'[13]1 т'!$A$5:$E$1048576,3,0),0)</f>
        <v/>
      </c>
      <c r="P55" s="86">
        <f>+IFERROR(VLOOKUP($A55,[14]Balance!$A$5:$E$1048576,3,0),0)</f>
        <v/>
      </c>
      <c r="Q55" s="86">
        <f>+IFERROR(VLOOKUP($A55,[15]Balance!$A$5:$E$1048576,3,0),0)</f>
        <v/>
      </c>
      <c r="R55" s="86">
        <f>+IFERROR(VLOOKUP($A55,'[16]1'!$A$5:$E$1048576,3,0),0)</f>
        <v/>
      </c>
      <c r="S55" s="86">
        <f>+IFERROR(VLOOKUP($A55,'[17]1'!$A$5:$E$1048576,3,0),0)</f>
        <v/>
      </c>
      <c r="T55" s="86">
        <f>+IFERROR(VLOOKUP($A55,'[18]1'!$A$5:$E$1048576,3,0),0)</f>
        <v/>
      </c>
      <c r="U55" s="86">
        <f>+IFERROR(VLOOKUP($A55,[19]Balans!$A$5:$E$1048576,3,0),0)</f>
        <v/>
      </c>
      <c r="V55" s="86">
        <f>+IFERROR(VLOOKUP($A55,'[20]1'!$A$5:$E$1048576,3,0),0)</f>
        <v/>
      </c>
      <c r="W55" s="86">
        <f>+IFERROR(VLOOKUP($A55,[21]Balance!$A$5:$E$1048576,3,0),0)</f>
        <v/>
      </c>
      <c r="X55" s="86">
        <f>+IFERROR(VLOOKUP($A55,'[22]1'!$A$5:$E$1048576,3,0),0)</f>
        <v/>
      </c>
      <c r="Y55" s="86">
        <f>+IFERROR(VLOOKUP($A55,[23]Лист1!$A$5:$E$1048576,3,0),0)</f>
        <v/>
      </c>
      <c r="Z55" s="86">
        <f>+IFERROR(VLOOKUP($A55,'[24]1'!$A$5:$E$1048576,3,0),0)</f>
        <v/>
      </c>
      <c r="AA55" s="86">
        <f>+IFERROR(VLOOKUP($A55,[25]Balance!$A$5:$E$1048576,3,0),0)</f>
        <v/>
      </c>
      <c r="AB55" s="86">
        <f>+IFERROR(VLOOKUP($A55,'[26]1'!$A$5:$E$1048576,3,0),0)</f>
        <v/>
      </c>
      <c r="AC55" s="86">
        <f>+IFERROR(VLOOKUP($A55,'[27]1'!$A$5:$E$1048576,3,0),0)</f>
        <v/>
      </c>
      <c r="AD55" s="86">
        <f>+IFERROR(VLOOKUP($A55,'[28]1'!$A$5:$E$1048576,3,0),0)</f>
        <v/>
      </c>
      <c r="AE55" s="86">
        <f>+IFERROR(VLOOKUP($A55,[29]Лист1!$A$5:$E$1048576,3,0),0)</f>
        <v/>
      </c>
      <c r="AF55" s="86">
        <f>+IFERROR(VLOOKUP($A55,'[30]1'!$A$5:$E$1048576,3,0),0)</f>
        <v/>
      </c>
      <c r="AG55" s="86">
        <f>+IFERROR(VLOOKUP($A55,'[31]1'!$A$5:$E$1048576,3,0),0)</f>
        <v/>
      </c>
      <c r="AH55" s="86">
        <f>+IFERROR(VLOOKUP($A55,'[32]1-жадвал'!$A$5:$E$1048576,3,0),0)</f>
        <v/>
      </c>
      <c r="AI55" s="248">
        <f>+IFERROR(VLOOKUP($A55,[33]Balance!$A$5:$E$1048576,3,0),0)</f>
        <v/>
      </c>
      <c r="AJ55" s="100">
        <f>+IFERROR(VLOOKUP($A55,[34]Balance!$A$5:$E$1048576,3,0),0)</f>
        <v/>
      </c>
      <c r="AK55" s="100">
        <f>+IFERROR(VLOOKUP($A55,'[35]1'!$A$5:$E$1048576,3,0),0)</f>
        <v/>
      </c>
    </row>
    <row r="56">
      <c r="A56" s="183" t="inlineStr">
        <is>
          <t>22</t>
        </is>
      </c>
      <c r="B56" s="87" t="inlineStr">
        <is>
          <t>Банк томонидан чиқарилган қимматли қоғозлар</t>
        </is>
      </c>
      <c r="C56" s="86">
        <f>+IFERROR(VLOOKUP($A56,[1]Лист1!$A$5:$E$1048576,3,0),0)</f>
        <v/>
      </c>
      <c r="D56" s="86">
        <f>+IFERROR(VLOOKUP($A56,'[2]1'!$A$5:$E$1048576,3,0),0)</f>
        <v/>
      </c>
      <c r="E56" s="86">
        <f>+IFERROR(VLOOKUP($A56,'[3]1'!$A$5:$E$1048576,3,0),0)</f>
        <v/>
      </c>
      <c r="F56" s="86">
        <f>+IFERROR(VLOOKUP($A56,[4]Balance!$A$5:$E$1048576,3,0),0)</f>
        <v/>
      </c>
      <c r="G56" s="86">
        <f>+IFERROR(VLOOKUP($A56,'[5]1'!$A$5:$E$1048576,3,0),0)</f>
        <v/>
      </c>
      <c r="H56" s="86">
        <f>+IFERROR(VLOOKUP($A56,[6]Balance!$A$5:$E$1048576,3,0),0)</f>
        <v/>
      </c>
      <c r="I56" s="86">
        <f>+IFERROR(VLOOKUP($A56,[7]Balance!$A$5:$E$1048576,3,0),0)</f>
        <v/>
      </c>
      <c r="J56" s="86">
        <f>+IFERROR(VLOOKUP($A56,'[8]1'!$A$5:$E$1048576,3,0),0)</f>
        <v/>
      </c>
      <c r="K56" s="86">
        <f>+IFERROR(VLOOKUP($A56,'[9]1'!$A$5:$E$1048576,3,0),0)</f>
        <v/>
      </c>
      <c r="L56" s="86">
        <f>+IFERROR(VLOOKUP($A56,'[10]1'!$A$5:$E$1048576,3,0),0)</f>
        <v/>
      </c>
      <c r="M56" s="86">
        <f>+IFERROR(VLOOKUP($A56,'[11]1'!$A$5:$E$1048576,3,0),0)</f>
        <v/>
      </c>
      <c r="N56" s="86">
        <f>+IFERROR(VLOOKUP($A56,[12]Balance!$A$5:$E$1048576,3,0),0)</f>
        <v/>
      </c>
      <c r="O56" s="86">
        <f>+IFERROR(VLOOKUP($A56,'[13]1 т'!$A$5:$E$1048576,3,0),0)</f>
        <v/>
      </c>
      <c r="P56" s="86">
        <f>+IFERROR(VLOOKUP($A56,[14]Balance!$A$5:$E$1048576,3,0),0)</f>
        <v/>
      </c>
      <c r="Q56" s="86">
        <f>+IFERROR(VLOOKUP($A56,[15]Balance!$A$5:$E$1048576,3,0),0)</f>
        <v/>
      </c>
      <c r="R56" s="86">
        <f>+IFERROR(VLOOKUP($A56,'[16]1'!$A$5:$E$1048576,3,0),0)</f>
        <v/>
      </c>
      <c r="S56" s="86">
        <f>+IFERROR(VLOOKUP($A56,'[17]1'!$A$5:$E$1048576,3,0),0)</f>
        <v/>
      </c>
      <c r="T56" s="86">
        <f>+IFERROR(VLOOKUP($A56,'[18]1'!$A$5:$E$1048576,3,0),0)</f>
        <v/>
      </c>
      <c r="U56" s="86">
        <f>+IFERROR(VLOOKUP($A56,[19]Balans!$A$5:$E$1048576,3,0),0)</f>
        <v/>
      </c>
      <c r="V56" s="86">
        <f>+IFERROR(VLOOKUP($A56,'[20]1'!$A$5:$E$1048576,3,0),0)</f>
        <v/>
      </c>
      <c r="W56" s="86">
        <f>+IFERROR(VLOOKUP($A56,[21]Balance!$A$5:$E$1048576,3,0),0)</f>
        <v/>
      </c>
      <c r="X56" s="86">
        <f>+IFERROR(VLOOKUP($A56,'[22]1'!$A$5:$E$1048576,3,0),0)</f>
        <v/>
      </c>
      <c r="Y56" s="86">
        <f>+IFERROR(VLOOKUP($A56,[23]Лист1!$A$5:$E$1048576,3,0),0)</f>
        <v/>
      </c>
      <c r="Z56" s="86">
        <f>+IFERROR(VLOOKUP($A56,'[24]1'!$A$5:$E$1048576,3,0),0)</f>
        <v/>
      </c>
      <c r="AA56" s="86">
        <f>+IFERROR(VLOOKUP($A56,[25]Balance!$A$5:$E$1048576,3,0),0)</f>
        <v/>
      </c>
      <c r="AB56" s="86">
        <f>+IFERROR(VLOOKUP($A56,'[26]1'!$A$5:$E$1048576,3,0),0)</f>
        <v/>
      </c>
      <c r="AC56" s="86">
        <f>+IFERROR(VLOOKUP($A56,'[27]1'!$A$5:$E$1048576,3,0),0)</f>
        <v/>
      </c>
      <c r="AD56" s="86">
        <f>+IFERROR(VLOOKUP($A56,'[28]1'!$A$5:$E$1048576,3,0),0)</f>
        <v/>
      </c>
      <c r="AE56" s="86">
        <f>+IFERROR(VLOOKUP($A56,[29]Лист1!$A$5:$E$1048576,3,0),0)</f>
        <v/>
      </c>
      <c r="AF56" s="86">
        <f>+IFERROR(VLOOKUP($A56,'[30]1'!$A$5:$E$1048576,3,0),0)</f>
        <v/>
      </c>
      <c r="AG56" s="86">
        <f>+IFERROR(VLOOKUP($A56,'[31]1'!$A$5:$E$1048576,3,0),0)</f>
        <v/>
      </c>
      <c r="AH56" s="86">
        <f>+IFERROR(VLOOKUP($A56,'[32]1-жадвал'!$A$5:$E$1048576,3,0),0)</f>
        <v/>
      </c>
      <c r="AI56" s="248">
        <f>+IFERROR(VLOOKUP($A56,[33]Balance!$A$5:$E$1048576,3,0),0)</f>
        <v/>
      </c>
      <c r="AJ56" s="100">
        <f>+IFERROR(VLOOKUP($A56,[34]Balance!$A$5:$E$1048576,3,0),0)</f>
        <v/>
      </c>
      <c r="AK56" s="100">
        <f>+IFERROR(VLOOKUP($A56,'[35]1'!$A$5:$E$1048576,3,0),0)</f>
        <v/>
      </c>
    </row>
    <row r="57">
      <c r="A57" s="183" t="inlineStr">
        <is>
          <t>23</t>
        </is>
      </c>
      <c r="B57" s="87" t="inlineStr">
        <is>
          <t xml:space="preserve">Субординар қарз </t>
        </is>
      </c>
      <c r="C57" s="86">
        <f>+IFERROR(VLOOKUP($A57,[1]Лист1!$A$5:$E$1048576,3,0),0)</f>
        <v/>
      </c>
      <c r="D57" s="86">
        <f>+IFERROR(VLOOKUP($A57,'[2]1'!$A$5:$E$1048576,3,0),0)</f>
        <v/>
      </c>
      <c r="E57" s="86">
        <f>+IFERROR(VLOOKUP($A57,'[3]1'!$A$5:$E$1048576,3,0),0)</f>
        <v/>
      </c>
      <c r="F57" s="86">
        <f>+IFERROR(VLOOKUP($A57,[4]Balance!$A$5:$E$1048576,3,0),0)</f>
        <v/>
      </c>
      <c r="G57" s="86">
        <f>+IFERROR(VLOOKUP($A57,'[5]1'!$A$5:$E$1048576,3,0),0)</f>
        <v/>
      </c>
      <c r="H57" s="86">
        <f>+IFERROR(VLOOKUP($A57,[6]Balance!$A$5:$E$1048576,3,0),0)</f>
        <v/>
      </c>
      <c r="I57" s="86">
        <f>+IFERROR(VLOOKUP($A57,[7]Balance!$A$5:$E$1048576,3,0),0)</f>
        <v/>
      </c>
      <c r="J57" s="86">
        <f>+IFERROR(VLOOKUP($A57,'[8]1'!$A$5:$E$1048576,3,0),0)</f>
        <v/>
      </c>
      <c r="K57" s="86">
        <f>+IFERROR(VLOOKUP($A57,'[9]1'!$A$5:$E$1048576,3,0),0)</f>
        <v/>
      </c>
      <c r="L57" s="86">
        <f>+IFERROR(VLOOKUP($A57,'[10]1'!$A$5:$E$1048576,3,0),0)</f>
        <v/>
      </c>
      <c r="M57" s="86">
        <f>+IFERROR(VLOOKUP($A57,'[11]1'!$A$5:$E$1048576,3,0),0)</f>
        <v/>
      </c>
      <c r="N57" s="86">
        <f>+IFERROR(VLOOKUP($A57,[12]Balance!$A$5:$E$1048576,3,0),0)</f>
        <v/>
      </c>
      <c r="O57" s="86">
        <f>+IFERROR(VLOOKUP($A57,'[13]1 т'!$A$5:$E$1048576,3,0),0)</f>
        <v/>
      </c>
      <c r="P57" s="86">
        <f>+IFERROR(VLOOKUP($A57,[14]Balance!$A$5:$E$1048576,3,0),0)</f>
        <v/>
      </c>
      <c r="Q57" s="86">
        <f>+IFERROR(VLOOKUP($A57,[15]Balance!$A$5:$E$1048576,3,0),0)</f>
        <v/>
      </c>
      <c r="R57" s="86">
        <f>+IFERROR(VLOOKUP($A57,'[16]1'!$A$5:$E$1048576,3,0),0)</f>
        <v/>
      </c>
      <c r="S57" s="86">
        <f>+IFERROR(VLOOKUP($A57,'[17]1'!$A$5:$E$1048576,3,0),0)</f>
        <v/>
      </c>
      <c r="T57" s="86">
        <f>+IFERROR(VLOOKUP($A57,'[18]1'!$A$5:$E$1048576,3,0),0)</f>
        <v/>
      </c>
      <c r="U57" s="86">
        <f>+IFERROR(VLOOKUP($A57,[19]Balans!$A$5:$E$1048576,3,0),0)</f>
        <v/>
      </c>
      <c r="V57" s="86">
        <f>+IFERROR(VLOOKUP($A57,'[20]1'!$A$5:$E$1048576,3,0),0)</f>
        <v/>
      </c>
      <c r="W57" s="86">
        <f>+IFERROR(VLOOKUP($A57,[21]Balance!$A$5:$E$1048576,3,0),0)</f>
        <v/>
      </c>
      <c r="X57" s="86">
        <f>+IFERROR(VLOOKUP($A57,'[22]1'!$A$5:$E$1048576,3,0),0)</f>
        <v/>
      </c>
      <c r="Y57" s="86">
        <f>+IFERROR(VLOOKUP($A57,[23]Лист1!$A$5:$E$1048576,3,0),0)</f>
        <v/>
      </c>
      <c r="Z57" s="86">
        <f>+IFERROR(VLOOKUP($A57,'[24]1'!$A$5:$E$1048576,3,0),0)</f>
        <v/>
      </c>
      <c r="AA57" s="86">
        <f>+IFERROR(VLOOKUP($A57,[25]Balance!$A$5:$E$1048576,3,0),0)</f>
        <v/>
      </c>
      <c r="AB57" s="86">
        <f>+IFERROR(VLOOKUP($A57,'[26]1'!$A$5:$E$1048576,3,0),0)</f>
        <v/>
      </c>
      <c r="AC57" s="86">
        <f>+IFERROR(VLOOKUP($A57,'[27]1'!$A$5:$E$1048576,3,0),0)</f>
        <v/>
      </c>
      <c r="AD57" s="86">
        <f>+IFERROR(VLOOKUP($A57,'[28]1'!$A$5:$E$1048576,3,0),0)</f>
        <v/>
      </c>
      <c r="AE57" s="86">
        <f>+IFERROR(VLOOKUP($A57,[29]Лист1!$A$5:$E$1048576,3,0),0)</f>
        <v/>
      </c>
      <c r="AF57" s="86">
        <f>+IFERROR(VLOOKUP($A57,'[30]1'!$A$5:$E$1048576,3,0),0)</f>
        <v/>
      </c>
      <c r="AG57" s="86">
        <f>+IFERROR(VLOOKUP($A57,'[31]1'!$A$5:$E$1048576,3,0),0)</f>
        <v/>
      </c>
      <c r="AH57" s="86">
        <f>+IFERROR(VLOOKUP($A57,'[32]1-жадвал'!$A$5:$E$1048576,3,0),0)</f>
        <v/>
      </c>
      <c r="AI57" s="248">
        <f>+IFERROR(VLOOKUP($A57,[33]Balance!$A$5:$E$1048576,3,0),0)</f>
        <v/>
      </c>
      <c r="AJ57" s="100">
        <f>+IFERROR(VLOOKUP($A57,[34]Balance!$A$5:$E$1048576,3,0),0)</f>
        <v/>
      </c>
      <c r="AK57" s="100">
        <f>+IFERROR(VLOOKUP($A57,'[35]1'!$A$5:$E$1048576,3,0),0)</f>
        <v/>
      </c>
    </row>
    <row r="58">
      <c r="A58" s="183" t="inlineStr">
        <is>
          <t>24</t>
        </is>
      </c>
      <c r="B58" s="87" t="inlineStr">
        <is>
          <t>Тўланиши лозим бўлган ҳисобланган фоизлар</t>
        </is>
      </c>
      <c r="C58" s="86">
        <f>+IFERROR(VLOOKUP($A58,[1]Лист1!$A$5:$E$1048576,3,0),0)</f>
        <v/>
      </c>
      <c r="D58" s="86">
        <f>+IFERROR(VLOOKUP($A58,'[2]1'!$A$5:$E$1048576,3,0),0)</f>
        <v/>
      </c>
      <c r="E58" s="86">
        <f>+IFERROR(VLOOKUP($A58,'[3]1'!$A$5:$E$1048576,3,0),0)</f>
        <v/>
      </c>
      <c r="F58" s="86">
        <f>+IFERROR(VLOOKUP($A58,[4]Balance!$A$5:$E$1048576,3,0),0)</f>
        <v/>
      </c>
      <c r="G58" s="86">
        <f>+IFERROR(VLOOKUP($A58,'[5]1'!$A$5:$E$1048576,3,0),0)</f>
        <v/>
      </c>
      <c r="H58" s="86">
        <f>+IFERROR(VLOOKUP($A58,[6]Balance!$A$5:$E$1048576,3,0),0)</f>
        <v/>
      </c>
      <c r="I58" s="86">
        <f>+IFERROR(VLOOKUP($A58,[7]Balance!$A$5:$E$1048576,3,0),0)</f>
        <v/>
      </c>
      <c r="J58" s="86">
        <f>+IFERROR(VLOOKUP($A58,'[8]1'!$A$5:$E$1048576,3,0),0)</f>
        <v/>
      </c>
      <c r="K58" s="86">
        <f>+IFERROR(VLOOKUP($A58,'[9]1'!$A$5:$E$1048576,3,0),0)</f>
        <v/>
      </c>
      <c r="L58" s="86">
        <f>+IFERROR(VLOOKUP($A58,'[10]1'!$A$5:$E$1048576,3,0),0)</f>
        <v/>
      </c>
      <c r="M58" s="86">
        <f>+IFERROR(VLOOKUP($A58,'[11]1'!$A$5:$E$1048576,3,0),0)</f>
        <v/>
      </c>
      <c r="N58" s="86">
        <f>+IFERROR(VLOOKUP($A58,[12]Balance!$A$5:$E$1048576,3,0),0)</f>
        <v/>
      </c>
      <c r="O58" s="86">
        <f>+IFERROR(VLOOKUP($A58,'[13]1 т'!$A$5:$E$1048576,3,0),0)</f>
        <v/>
      </c>
      <c r="P58" s="86">
        <f>+IFERROR(VLOOKUP($A58,[14]Balance!$A$5:$E$1048576,3,0),0)</f>
        <v/>
      </c>
      <c r="Q58" s="86">
        <f>+IFERROR(VLOOKUP($A58,[15]Balance!$A$5:$E$1048576,3,0),0)</f>
        <v/>
      </c>
      <c r="R58" s="86">
        <f>+IFERROR(VLOOKUP($A58,'[16]1'!$A$5:$E$1048576,3,0),0)</f>
        <v/>
      </c>
      <c r="S58" s="86">
        <f>+IFERROR(VLOOKUP($A58,'[17]1'!$A$5:$E$1048576,3,0),0)</f>
        <v/>
      </c>
      <c r="T58" s="86">
        <f>+IFERROR(VLOOKUP($A58,'[18]1'!$A$5:$E$1048576,3,0),0)</f>
        <v/>
      </c>
      <c r="U58" s="86">
        <f>+IFERROR(VLOOKUP($A58,[19]Balans!$A$5:$E$1048576,3,0),0)</f>
        <v/>
      </c>
      <c r="V58" s="86">
        <f>+IFERROR(VLOOKUP($A58,'[20]1'!$A$5:$E$1048576,3,0),0)</f>
        <v/>
      </c>
      <c r="W58" s="86">
        <f>+IFERROR(VLOOKUP($A58,[21]Balance!$A$5:$E$1048576,3,0),0)</f>
        <v/>
      </c>
      <c r="X58" s="86">
        <f>+IFERROR(VLOOKUP($A58,'[22]1'!$A$5:$E$1048576,3,0),0)</f>
        <v/>
      </c>
      <c r="Y58" s="86">
        <f>+IFERROR(VLOOKUP($A58,[23]Лист1!$A$5:$E$1048576,3,0),0)</f>
        <v/>
      </c>
      <c r="Z58" s="86">
        <f>+IFERROR(VLOOKUP($A58,'[24]1'!$A$5:$E$1048576,3,0),0)</f>
        <v/>
      </c>
      <c r="AA58" s="86">
        <f>+IFERROR(VLOOKUP($A58,[25]Balance!$A$5:$E$1048576,3,0),0)</f>
        <v/>
      </c>
      <c r="AB58" s="86">
        <f>+IFERROR(VLOOKUP($A58,'[26]1'!$A$5:$E$1048576,3,0),0)</f>
        <v/>
      </c>
      <c r="AC58" s="86">
        <f>+IFERROR(VLOOKUP($A58,'[27]1'!$A$5:$E$1048576,3,0),0)</f>
        <v/>
      </c>
      <c r="AD58" s="86">
        <f>+IFERROR(VLOOKUP($A58,'[28]1'!$A$5:$E$1048576,3,0),0)</f>
        <v/>
      </c>
      <c r="AE58" s="86">
        <f>+IFERROR(VLOOKUP($A58,[29]Лист1!$A$5:$E$1048576,3,0),0)</f>
        <v/>
      </c>
      <c r="AF58" s="86">
        <f>+IFERROR(VLOOKUP($A58,'[30]1'!$A$5:$E$1048576,3,0),0)</f>
        <v/>
      </c>
      <c r="AG58" s="86">
        <f>+IFERROR(VLOOKUP($A58,'[31]1'!$A$5:$E$1048576,3,0),0)</f>
        <v/>
      </c>
      <c r="AH58" s="86">
        <f>+IFERROR(VLOOKUP($A58,'[32]1-жадвал'!$A$5:$E$1048576,3,0),0)</f>
        <v/>
      </c>
      <c r="AI58" s="248">
        <f>+IFERROR(VLOOKUP($A58,[33]Balance!$A$5:$E$1048576,3,0),0)</f>
        <v/>
      </c>
      <c r="AJ58" s="100">
        <f>+IFERROR(VLOOKUP($A58,[34]Balance!$A$5:$E$1048576,3,0),0)</f>
        <v/>
      </c>
      <c r="AK58" s="100">
        <f>+IFERROR(VLOOKUP($A58,'[35]1'!$A$5:$E$1048576,3,0),0)</f>
        <v/>
      </c>
    </row>
    <row r="59">
      <c r="A59" s="183" t="inlineStr">
        <is>
          <t>25</t>
        </is>
      </c>
      <c r="B59" s="87" t="inlineStr">
        <is>
          <t>Ҳисобланган солиқлар бўйича мажбуриятлар</t>
        </is>
      </c>
      <c r="C59" s="86">
        <f>+IFERROR(VLOOKUP($A59,[1]Лист1!$A$5:$E$1048576,3,0),0)</f>
        <v/>
      </c>
      <c r="D59" s="86">
        <f>+IFERROR(VLOOKUP($A59,'[2]1'!$A$5:$E$1048576,3,0),0)</f>
        <v/>
      </c>
      <c r="E59" s="86">
        <f>+IFERROR(VLOOKUP($A59,'[3]1'!$A$5:$E$1048576,3,0),0)</f>
        <v/>
      </c>
      <c r="F59" s="86">
        <f>+IFERROR(VLOOKUP($A59,[4]Balance!$A$5:$E$1048576,3,0),0)</f>
        <v/>
      </c>
      <c r="G59" s="86">
        <f>+IFERROR(VLOOKUP($A59,'[5]1'!$A$5:$E$1048576,3,0),0)</f>
        <v/>
      </c>
      <c r="H59" s="86">
        <f>+IFERROR(VLOOKUP($A59,[6]Balance!$A$5:$E$1048576,3,0),0)</f>
        <v/>
      </c>
      <c r="I59" s="86">
        <f>+IFERROR(VLOOKUP($A59,[7]Balance!$A$5:$E$1048576,3,0),0)</f>
        <v/>
      </c>
      <c r="J59" s="86">
        <f>+IFERROR(VLOOKUP($A59,'[8]1'!$A$5:$E$1048576,3,0),0)</f>
        <v/>
      </c>
      <c r="K59" s="86">
        <f>+IFERROR(VLOOKUP($A59,'[9]1'!$A$5:$E$1048576,3,0),0)</f>
        <v/>
      </c>
      <c r="L59" s="86">
        <f>+IFERROR(VLOOKUP($A59,'[10]1'!$A$5:$E$1048576,3,0),0)</f>
        <v/>
      </c>
      <c r="M59" s="86">
        <f>+IFERROR(VLOOKUP($A59,'[11]1'!$A$5:$E$1048576,3,0),0)</f>
        <v/>
      </c>
      <c r="N59" s="86">
        <f>+IFERROR(VLOOKUP($A59,[12]Balance!$A$5:$E$1048576,3,0),0)</f>
        <v/>
      </c>
      <c r="O59" s="86">
        <f>+IFERROR(VLOOKUP($A59,'[13]1 т'!$A$5:$E$1048576,3,0),0)</f>
        <v/>
      </c>
      <c r="P59" s="86">
        <f>+IFERROR(VLOOKUP($A59,[14]Balance!$A$5:$E$1048576,3,0),0)</f>
        <v/>
      </c>
      <c r="Q59" s="86">
        <f>+IFERROR(VLOOKUP($A59,[15]Balance!$A$5:$E$1048576,3,0),0)</f>
        <v/>
      </c>
      <c r="R59" s="86">
        <f>+IFERROR(VLOOKUP($A59,'[16]1'!$A$5:$E$1048576,3,0),0)</f>
        <v/>
      </c>
      <c r="S59" s="86">
        <f>+IFERROR(VLOOKUP($A59,'[17]1'!$A$5:$E$1048576,3,0),0)</f>
        <v/>
      </c>
      <c r="T59" s="86">
        <f>+IFERROR(VLOOKUP($A59,'[18]1'!$A$5:$E$1048576,3,0),0)</f>
        <v/>
      </c>
      <c r="U59" s="86">
        <f>+IFERROR(VLOOKUP($A59,[19]Balans!$A$5:$E$1048576,3,0),0)</f>
        <v/>
      </c>
      <c r="V59" s="86">
        <f>+IFERROR(VLOOKUP($A59,'[20]1'!$A$5:$E$1048576,3,0),0)</f>
        <v/>
      </c>
      <c r="W59" s="86">
        <f>+IFERROR(VLOOKUP($A59,[21]Balance!$A$5:$E$1048576,3,0),0)</f>
        <v/>
      </c>
      <c r="X59" s="86">
        <f>+IFERROR(VLOOKUP($A59,'[22]1'!$A$5:$E$1048576,3,0),0)</f>
        <v/>
      </c>
      <c r="Y59" s="86">
        <f>+IFERROR(VLOOKUP($A59,[23]Лист1!$A$5:$E$1048576,3,0),0)</f>
        <v/>
      </c>
      <c r="Z59" s="86">
        <f>+IFERROR(VLOOKUP($A59,'[24]1'!$A$5:$E$1048576,3,0),0)</f>
        <v/>
      </c>
      <c r="AA59" s="86">
        <f>+IFERROR(VLOOKUP($A59,[25]Balance!$A$5:$E$1048576,3,0),0)</f>
        <v/>
      </c>
      <c r="AB59" s="86">
        <f>+IFERROR(VLOOKUP($A59,'[26]1'!$A$5:$E$1048576,3,0),0)</f>
        <v/>
      </c>
      <c r="AC59" s="86">
        <f>+IFERROR(VLOOKUP($A59,'[27]1'!$A$5:$E$1048576,3,0),0)</f>
        <v/>
      </c>
      <c r="AD59" s="86">
        <f>+IFERROR(VLOOKUP($A59,'[28]1'!$A$5:$E$1048576,3,0),0)</f>
        <v/>
      </c>
      <c r="AE59" s="86">
        <f>+IFERROR(VLOOKUP($A59,[29]Лист1!$A$5:$E$1048576,3,0),0)</f>
        <v/>
      </c>
      <c r="AF59" s="86">
        <f>+IFERROR(VLOOKUP($A59,'[30]1'!$A$5:$E$1048576,3,0),0)</f>
        <v/>
      </c>
      <c r="AG59" s="86">
        <f>+IFERROR(VLOOKUP($A59,'[31]1'!$A$5:$E$1048576,3,0),0)</f>
        <v/>
      </c>
      <c r="AH59" s="86">
        <f>+IFERROR(VLOOKUP($A59,'[32]1-жадвал'!$A$5:$E$1048576,3,0),0)</f>
        <v/>
      </c>
      <c r="AI59" s="248">
        <f>+IFERROR(VLOOKUP($A59,[33]Balance!$A$5:$E$1048576,3,0),0)</f>
        <v/>
      </c>
      <c r="AJ59" s="100">
        <f>+IFERROR(VLOOKUP($A59,[34]Balance!$A$5:$E$1048576,3,0),0)</f>
        <v/>
      </c>
      <c r="AK59" s="100">
        <f>+IFERROR(VLOOKUP($A59,'[35]1'!$A$5:$E$1048576,3,0),0)</f>
        <v/>
      </c>
    </row>
    <row r="60">
      <c r="A60" s="183" t="inlineStr">
        <is>
          <t>26</t>
        </is>
      </c>
      <c r="B60" s="87" t="inlineStr">
        <is>
          <t>Клиринг транзакциялари</t>
        </is>
      </c>
      <c r="C60" s="86">
        <f>+IFERROR(VLOOKUP($A60,[1]Лист1!$A$5:$E$1048576,3,0),0)</f>
        <v/>
      </c>
      <c r="D60" s="86">
        <f>+IFERROR(VLOOKUP($A60,'[2]1'!$A$5:$E$1048576,3,0),0)</f>
        <v/>
      </c>
      <c r="E60" s="86">
        <f>+IFERROR(VLOOKUP($A60,'[3]1'!$A$5:$E$1048576,3,0),0)</f>
        <v/>
      </c>
      <c r="F60" s="86">
        <f>+IFERROR(VLOOKUP($A60,[4]Balance!$A$5:$E$1048576,3,0),0)</f>
        <v/>
      </c>
      <c r="G60" s="86">
        <f>+IFERROR(VLOOKUP($A60,'[5]1'!$A$5:$E$1048576,3,0),0)</f>
        <v/>
      </c>
      <c r="H60" s="86">
        <f>+IFERROR(VLOOKUP($A60,[6]Balance!$A$5:$E$1048576,3,0),0)</f>
        <v/>
      </c>
      <c r="I60" s="86">
        <f>+IFERROR(VLOOKUP($A60,[7]Balance!$A$5:$E$1048576,3,0),0)</f>
        <v/>
      </c>
      <c r="J60" s="86">
        <f>+IFERROR(VLOOKUP($A60,'[8]1'!$A$5:$E$1048576,3,0),0)</f>
        <v/>
      </c>
      <c r="K60" s="86">
        <f>+IFERROR(VLOOKUP($A60,'[9]1'!$A$5:$E$1048576,3,0),0)</f>
        <v/>
      </c>
      <c r="L60" s="86">
        <f>+IFERROR(VLOOKUP($A60,'[10]1'!$A$5:$E$1048576,3,0),0)</f>
        <v/>
      </c>
      <c r="M60" s="86">
        <f>+IFERROR(VLOOKUP($A60,'[11]1'!$A$5:$E$1048576,3,0),0)</f>
        <v/>
      </c>
      <c r="N60" s="86">
        <f>+IFERROR(VLOOKUP($A60,[12]Balance!$A$5:$E$1048576,3,0),0)</f>
        <v/>
      </c>
      <c r="O60" s="86">
        <f>+IFERROR(VLOOKUP($A60,'[13]1 т'!$A$5:$E$1048576,3,0),0)</f>
        <v/>
      </c>
      <c r="P60" s="86">
        <f>+IFERROR(VLOOKUP($A60,[14]Balance!$A$5:$E$1048576,3,0),0)</f>
        <v/>
      </c>
      <c r="Q60" s="86">
        <f>+IFERROR(VLOOKUP($A60,[15]Balance!$A$5:$E$1048576,3,0),0)</f>
        <v/>
      </c>
      <c r="R60" s="86">
        <f>+IFERROR(VLOOKUP($A60,'[16]1'!$A$5:$E$1048576,3,0),0)</f>
        <v/>
      </c>
      <c r="S60" s="86">
        <f>+IFERROR(VLOOKUP($A60,'[17]1'!$A$5:$E$1048576,3,0),0)</f>
        <v/>
      </c>
      <c r="T60" s="86">
        <f>+IFERROR(VLOOKUP($A60,'[18]1'!$A$5:$E$1048576,3,0),0)</f>
        <v/>
      </c>
      <c r="U60" s="86">
        <f>+IFERROR(VLOOKUP($A60,[19]Balans!$A$5:$E$1048576,3,0),0)</f>
        <v/>
      </c>
      <c r="V60" s="86">
        <f>+IFERROR(VLOOKUP($A60,'[20]1'!$A$5:$E$1048576,3,0),0)</f>
        <v/>
      </c>
      <c r="W60" s="86">
        <f>+IFERROR(VLOOKUP($A60,[21]Balance!$A$5:$E$1048576,3,0),0)</f>
        <v/>
      </c>
      <c r="X60" s="86">
        <f>+IFERROR(VLOOKUP($A60,'[22]1'!$A$5:$E$1048576,3,0),0)</f>
        <v/>
      </c>
      <c r="Y60" s="86">
        <f>+IFERROR(VLOOKUP($A60,[23]Лист1!$A$5:$E$1048576,3,0),0)</f>
        <v/>
      </c>
      <c r="Z60" s="86">
        <f>+IFERROR(VLOOKUP($A60,'[24]1'!$A$5:$E$1048576,3,0),0)</f>
        <v/>
      </c>
      <c r="AA60" s="86">
        <f>+IFERROR(VLOOKUP($A60,[25]Balance!$A$5:$E$1048576,3,0),0)</f>
        <v/>
      </c>
      <c r="AB60" s="86">
        <f>+IFERROR(VLOOKUP($A60,'[26]1'!$A$5:$E$1048576,3,0),0)</f>
        <v/>
      </c>
      <c r="AC60" s="86">
        <f>+IFERROR(VLOOKUP($A60,'[27]1'!$A$5:$E$1048576,3,0),0)</f>
        <v/>
      </c>
      <c r="AD60" s="86">
        <f>+IFERROR(VLOOKUP($A60,'[28]1'!$A$5:$E$1048576,3,0),0)</f>
        <v/>
      </c>
      <c r="AE60" s="86">
        <f>+IFERROR(VLOOKUP($A60,[29]Лист1!$A$5:$E$1048576,3,0),0)</f>
        <v/>
      </c>
      <c r="AF60" s="86">
        <f>+IFERROR(VLOOKUP($A60,'[30]1'!$A$5:$E$1048576,3,0),0)</f>
        <v/>
      </c>
      <c r="AG60" s="86">
        <f>+IFERROR(VLOOKUP($A60,'[31]1'!$A$5:$E$1048576,3,0),0)</f>
        <v/>
      </c>
      <c r="AH60" s="86">
        <f>+IFERROR(VLOOKUP($A60,'[32]1-жадвал'!$A$5:$E$1048576,3,0),0)</f>
        <v/>
      </c>
      <c r="AI60" s="248">
        <f>+IFERROR(VLOOKUP($A60,[33]Balance!$A$5:$E$1048576,3,0),0)</f>
        <v/>
      </c>
      <c r="AJ60" s="100">
        <f>+IFERROR(VLOOKUP($A60,[34]Balance!$A$5:$E$1048576,3,0),0)</f>
        <v/>
      </c>
      <c r="AK60" s="100">
        <f>+IFERROR(VLOOKUP($A60,'[35]1'!$A$5:$E$1048576,3,0),0)</f>
        <v/>
      </c>
      <c r="AL60" s="188" t="n"/>
    </row>
    <row r="61" ht="25.5" customHeight="1">
      <c r="A61" s="183" t="inlineStr">
        <is>
          <t>27</t>
        </is>
      </c>
      <c r="B61" s="94" t="inlineStr">
        <is>
          <t>Стандарт деб таснифланган балансдан ташқари моддаларга яратилган захиралар</t>
        </is>
      </c>
      <c r="C61" s="86">
        <f>+IFERROR(VLOOKUP($A61,[1]Лист1!$A$5:$E$1048576,3,0),0)</f>
        <v/>
      </c>
      <c r="D61" s="86">
        <f>+IFERROR(VLOOKUP($A61,'[2]1'!$A$5:$E$1048576,3,0),0)</f>
        <v/>
      </c>
      <c r="E61" s="86">
        <f>+IFERROR(VLOOKUP($A61,'[3]1'!$A$5:$E$1048576,3,0),0)</f>
        <v/>
      </c>
      <c r="F61" s="86">
        <f>+IFERROR(VLOOKUP($A61,[4]Balance!$A$5:$E$1048576,3,0),0)</f>
        <v/>
      </c>
      <c r="G61" s="86">
        <f>+IFERROR(VLOOKUP($A61,'[5]1'!$A$5:$E$1048576,3,0),0)</f>
        <v/>
      </c>
      <c r="H61" s="86">
        <f>+IFERROR(VLOOKUP($A61,[6]Balance!$A$5:$E$1048576,3,0),0)</f>
        <v/>
      </c>
      <c r="I61" s="86">
        <f>+IFERROR(VLOOKUP($A61,[7]Balance!$A$5:$E$1048576,3,0),0)</f>
        <v/>
      </c>
      <c r="J61" s="86">
        <f>+IFERROR(VLOOKUP($A61,'[8]1'!$A$5:$E$1048576,3,0),0)</f>
        <v/>
      </c>
      <c r="K61" s="86">
        <f>+IFERROR(VLOOKUP($A61,'[9]1'!$A$5:$E$1048576,3,0),0)</f>
        <v/>
      </c>
      <c r="L61" s="86">
        <f>+IFERROR(VLOOKUP($A61,'[10]1'!$A$5:$E$1048576,3,0),0)</f>
        <v/>
      </c>
      <c r="M61" s="86">
        <f>+IFERROR(VLOOKUP($A61,'[11]1'!$A$5:$E$1048576,3,0),0)</f>
        <v/>
      </c>
      <c r="N61" s="86">
        <f>+IFERROR(VLOOKUP($A61,[12]Balance!$A$5:$E$1048576,3,0),0)</f>
        <v/>
      </c>
      <c r="O61" s="86">
        <f>+IFERROR(VLOOKUP($A61,'[13]1 т'!$A$5:$E$1048576,3,0),0)</f>
        <v/>
      </c>
      <c r="P61" s="86">
        <f>+IFERROR(VLOOKUP($A61,[14]Balance!$A$5:$E$1048576,3,0),0)</f>
        <v/>
      </c>
      <c r="Q61" s="86">
        <f>+IFERROR(VLOOKUP($A61,[15]Balance!$A$5:$E$1048576,3,0),0)</f>
        <v/>
      </c>
      <c r="R61" s="86">
        <f>+IFERROR(VLOOKUP($A61,'[16]1'!$A$5:$E$1048576,3,0),0)</f>
        <v/>
      </c>
      <c r="S61" s="86">
        <f>+IFERROR(VLOOKUP($A61,'[17]1'!$A$5:$E$1048576,3,0),0)</f>
        <v/>
      </c>
      <c r="T61" s="86">
        <f>+IFERROR(VLOOKUP($A61,'[18]1'!$A$5:$E$1048576,3,0),0)</f>
        <v/>
      </c>
      <c r="U61" s="86">
        <f>+IFERROR(VLOOKUP($A61,[19]Balans!$A$5:$E$1048576,3,0),0)</f>
        <v/>
      </c>
      <c r="V61" s="86">
        <f>+IFERROR(VLOOKUP($A61,'[20]1'!$A$5:$E$1048576,3,0),0)</f>
        <v/>
      </c>
      <c r="W61" s="86">
        <f>+IFERROR(VLOOKUP($A61,[21]Balance!$A$5:$E$1048576,3,0),0)</f>
        <v/>
      </c>
      <c r="X61" s="86">
        <f>+IFERROR(VLOOKUP($A61,'[22]1'!$A$5:$E$1048576,3,0),0)</f>
        <v/>
      </c>
      <c r="Y61" s="86">
        <f>+IFERROR(VLOOKUP($A61,[23]Лист1!$A$5:$E$1048576,3,0),0)</f>
        <v/>
      </c>
      <c r="Z61" s="86">
        <f>+IFERROR(VLOOKUP($A61,'[24]1'!$A$5:$E$1048576,3,0),0)</f>
        <v/>
      </c>
      <c r="AA61" s="86">
        <f>+IFERROR(VLOOKUP($A61,[25]Balance!$A$5:$E$1048576,3,0),0)</f>
        <v/>
      </c>
      <c r="AB61" s="86">
        <f>+IFERROR(VLOOKUP($A61,'[26]1'!$A$5:$E$1048576,3,0),0)</f>
        <v/>
      </c>
      <c r="AC61" s="86">
        <f>+IFERROR(VLOOKUP($A61,'[27]1'!$A$5:$E$1048576,3,0),0)</f>
        <v/>
      </c>
      <c r="AD61" s="86">
        <f>+IFERROR(VLOOKUP($A61,'[28]1'!$A$5:$E$1048576,3,0),0)</f>
        <v/>
      </c>
      <c r="AE61" s="86">
        <f>+IFERROR(VLOOKUP($A61,[29]Лист1!$A$5:$E$1048576,3,0),0)</f>
        <v/>
      </c>
      <c r="AF61" s="86">
        <f>+IFERROR(VLOOKUP($A61,'[30]1'!$A$5:$E$1048576,3,0),0)</f>
        <v/>
      </c>
      <c r="AG61" s="86">
        <f>+IFERROR(VLOOKUP($A61,'[31]1'!$A$5:$E$1048576,3,0),0)</f>
        <v/>
      </c>
      <c r="AH61" s="86">
        <f>+IFERROR(VLOOKUP($A61,'[32]1-жадвал'!$A$5:$E$1048576,3,0),0)</f>
        <v/>
      </c>
      <c r="AI61" s="248">
        <f>+IFERROR(VLOOKUP($A61,[33]Balance!$A$5:$E$1048576,3,0),0)</f>
        <v/>
      </c>
      <c r="AJ61" s="100">
        <f>+IFERROR(VLOOKUP($A61,[34]Balance!$A$5:$E$1048576,3,0),0)</f>
        <v/>
      </c>
      <c r="AK61" s="100">
        <f>+IFERROR(VLOOKUP($A61,'[35]1'!$A$5:$E$1048576,3,0),0)</f>
        <v/>
      </c>
      <c r="AM61" s="188" t="n"/>
      <c r="AN61" s="188" t="n"/>
    </row>
    <row r="62">
      <c r="A62" s="95" t="inlineStr">
        <is>
          <t>28</t>
        </is>
      </c>
      <c r="B62" s="89" t="inlineStr">
        <is>
          <t>Бошқа мажбуриятлар</t>
        </is>
      </c>
      <c r="C62" s="86">
        <f>+IFERROR(VLOOKUP($A62,[1]Лист1!$A$5:$E$1048576,3,0),0)</f>
        <v/>
      </c>
      <c r="D62" s="86">
        <f>+IFERROR(VLOOKUP($A62,'[2]1'!$A$5:$E$1048576,3,0),0)</f>
        <v/>
      </c>
      <c r="E62" s="86">
        <f>+IFERROR(VLOOKUP($A62,'[3]1'!$A$5:$E$1048576,3,0),0)</f>
        <v/>
      </c>
      <c r="F62" s="86">
        <f>+IFERROR(VLOOKUP($A62,[4]Balance!$A$5:$E$1048576,3,0),0)</f>
        <v/>
      </c>
      <c r="G62" s="86">
        <f>+IFERROR(VLOOKUP($A62,'[5]1'!$A$5:$E$1048576,3,0),0)</f>
        <v/>
      </c>
      <c r="H62" s="86">
        <f>+IFERROR(VLOOKUP($A62,[6]Balance!$A$5:$E$1048576,3,0),0)</f>
        <v/>
      </c>
      <c r="I62" s="86">
        <f>+IFERROR(VLOOKUP($A62,[7]Balance!$A$5:$E$1048576,3,0),0)</f>
        <v/>
      </c>
      <c r="J62" s="86">
        <f>+IFERROR(VLOOKUP($A62,'[8]1'!$A$5:$E$1048576,3,0),0)</f>
        <v/>
      </c>
      <c r="K62" s="86">
        <f>+IFERROR(VLOOKUP($A62,'[9]1'!$A$5:$E$1048576,3,0),0)</f>
        <v/>
      </c>
      <c r="L62" s="86">
        <f>+IFERROR(VLOOKUP($A62,'[10]1'!$A$5:$E$1048576,3,0),0)</f>
        <v/>
      </c>
      <c r="M62" s="86">
        <f>+IFERROR(VLOOKUP($A62,'[11]1'!$A$5:$E$1048576,3,0),0)</f>
        <v/>
      </c>
      <c r="N62" s="86">
        <f>+IFERROR(VLOOKUP($A62,[12]Balance!$A$5:$E$1048576,3,0),0)</f>
        <v/>
      </c>
      <c r="O62" s="86">
        <f>+IFERROR(VLOOKUP($A62,'[13]1 т'!$A$5:$E$1048576,3,0),0)</f>
        <v/>
      </c>
      <c r="P62" s="86">
        <f>+IFERROR(VLOOKUP($A62,[14]Balance!$A$5:$E$1048576,3,0),0)</f>
        <v/>
      </c>
      <c r="Q62" s="86">
        <f>+IFERROR(VLOOKUP($A62,[15]Balance!$A$5:$E$1048576,3,0),0)</f>
        <v/>
      </c>
      <c r="R62" s="86">
        <f>+IFERROR(VLOOKUP($A62,'[16]1'!$A$5:$E$1048576,3,0),0)</f>
        <v/>
      </c>
      <c r="S62" s="86">
        <f>+IFERROR(VLOOKUP($A62,'[17]1'!$A$5:$E$1048576,3,0),0)</f>
        <v/>
      </c>
      <c r="T62" s="86">
        <f>+IFERROR(VLOOKUP($A62,'[18]1'!$A$5:$E$1048576,3,0),0)</f>
        <v/>
      </c>
      <c r="U62" s="86">
        <f>+IFERROR(VLOOKUP($A62,[19]Balans!$A$5:$E$1048576,3,0),0)</f>
        <v/>
      </c>
      <c r="V62" s="86">
        <f>+IFERROR(VLOOKUP($A62,'[20]1'!$A$5:$E$1048576,3,0),0)</f>
        <v/>
      </c>
      <c r="W62" s="86">
        <f>+IFERROR(VLOOKUP($A62,[21]Balance!$A$5:$E$1048576,3,0),0)</f>
        <v/>
      </c>
      <c r="X62" s="86">
        <f>+IFERROR(VLOOKUP($A62,'[22]1'!$A$5:$E$1048576,3,0),0)</f>
        <v/>
      </c>
      <c r="Y62" s="86">
        <f>+IFERROR(VLOOKUP($A62,[23]Лист1!$A$5:$E$1048576,3,0),0)</f>
        <v/>
      </c>
      <c r="Z62" s="86">
        <f>+IFERROR(VLOOKUP($A62,'[24]1'!$A$5:$E$1048576,3,0),0)</f>
        <v/>
      </c>
      <c r="AA62" s="86">
        <f>+IFERROR(VLOOKUP($A62,[25]Balance!$A$5:$E$1048576,3,0),0)</f>
        <v/>
      </c>
      <c r="AB62" s="86">
        <f>+IFERROR(VLOOKUP($A62,'[26]1'!$A$5:$E$1048576,3,0),0)</f>
        <v/>
      </c>
      <c r="AC62" s="86">
        <f>+IFERROR(VLOOKUP($A62,'[27]1'!$A$5:$E$1048576,3,0),0)</f>
        <v/>
      </c>
      <c r="AD62" s="86">
        <f>+IFERROR(VLOOKUP($A62,'[28]1'!$A$5:$E$1048576,3,0),0)</f>
        <v/>
      </c>
      <c r="AE62" s="86">
        <f>+IFERROR(VLOOKUP($A62,[29]Лист1!$A$5:$E$1048576,3,0),0)</f>
        <v/>
      </c>
      <c r="AF62" s="86">
        <f>+IFERROR(VLOOKUP($A62,'[30]1'!$A$5:$E$1048576,3,0),0)</f>
        <v/>
      </c>
      <c r="AG62" s="86">
        <f>+IFERROR(VLOOKUP($A62,'[31]1'!$A$5:$E$1048576,3,0),0)</f>
        <v/>
      </c>
      <c r="AH62" s="86">
        <f>+IFERROR(VLOOKUP($A62,'[32]1-жадвал'!$A$5:$E$1048576,3,0),0)</f>
        <v/>
      </c>
      <c r="AI62" s="248">
        <f>+IFERROR(VLOOKUP($A62,[33]Balance!$A$5:$E$1048576,3,0),0)</f>
        <v/>
      </c>
      <c r="AJ62" s="100">
        <f>+IFERROR(VLOOKUP($A62,[34]Balance!$A$5:$E$1048576,3,0),0)</f>
        <v/>
      </c>
      <c r="AK62" s="100">
        <f>+IFERROR(VLOOKUP($A62,'[35]1'!$A$5:$E$1048576,3,0),0)</f>
        <v/>
      </c>
      <c r="AL62" s="188" t="n"/>
      <c r="AN62" s="188" t="n"/>
    </row>
    <row r="63">
      <c r="A63" s="183" t="inlineStr">
        <is>
          <t>29</t>
        </is>
      </c>
      <c r="B63" s="87" t="inlineStr">
        <is>
          <t>Жами мажбуриятлар</t>
        </is>
      </c>
      <c r="C63" s="86">
        <f>+IFERROR(VLOOKUP($A63,[1]Лист1!$A$5:$E$1048576,3,0),0)</f>
        <v/>
      </c>
      <c r="D63" s="86">
        <f>+IFERROR(VLOOKUP($A63,'[2]1'!$A$5:$E$1048576,3,0),0)</f>
        <v/>
      </c>
      <c r="E63" s="86">
        <f>+IFERROR(VLOOKUP($A63,'[3]1'!$A$5:$E$1048576,3,0),0)</f>
        <v/>
      </c>
      <c r="F63" s="86">
        <f>+IFERROR(VLOOKUP($A63,[4]Balance!$A$5:$E$1048576,3,0),0)</f>
        <v/>
      </c>
      <c r="G63" s="86">
        <f>+IFERROR(VLOOKUP($A63,'[5]1'!$A$5:$E$1048576,3,0),0)</f>
        <v/>
      </c>
      <c r="H63" s="86">
        <f>+IFERROR(VLOOKUP($A63,[6]Balance!$A$5:$E$1048576,3,0),0)</f>
        <v/>
      </c>
      <c r="I63" s="86">
        <f>+IFERROR(VLOOKUP($A63,[7]Balance!$A$5:$E$1048576,3,0),0)</f>
        <v/>
      </c>
      <c r="J63" s="86">
        <f>+IFERROR(VLOOKUP($A63,'[8]1'!$A$5:$E$1048576,3,0),0)</f>
        <v/>
      </c>
      <c r="K63" s="86">
        <f>+IFERROR(VLOOKUP($A63,'[9]1'!$A$5:$E$1048576,3,0),0)</f>
        <v/>
      </c>
      <c r="L63" s="86">
        <f>+IFERROR(VLOOKUP($A63,'[10]1'!$A$5:$E$1048576,3,0),0)</f>
        <v/>
      </c>
      <c r="M63" s="86">
        <f>+IFERROR(VLOOKUP($A63,'[11]1'!$A$5:$E$1048576,3,0),0)</f>
        <v/>
      </c>
      <c r="N63" s="86">
        <f>+IFERROR(VLOOKUP($A63,[12]Balance!$A$5:$E$1048576,3,0),0)</f>
        <v/>
      </c>
      <c r="O63" s="86">
        <f>+IFERROR(VLOOKUP($A63,'[13]1 т'!$A$5:$E$1048576,3,0),0)</f>
        <v/>
      </c>
      <c r="P63" s="86">
        <f>+IFERROR(VLOOKUP($A63,[14]Balance!$A$5:$E$1048576,3,0),0)</f>
        <v/>
      </c>
      <c r="Q63" s="86">
        <f>+IFERROR(VLOOKUP($A63,[15]Balance!$A$5:$E$1048576,3,0),0)</f>
        <v/>
      </c>
      <c r="R63" s="86">
        <f>+IFERROR(VLOOKUP($A63,'[16]1'!$A$5:$E$1048576,3,0),0)</f>
        <v/>
      </c>
      <c r="S63" s="86">
        <f>+IFERROR(VLOOKUP($A63,'[17]1'!$A$5:$E$1048576,3,0),0)</f>
        <v/>
      </c>
      <c r="T63" s="86">
        <f>+IFERROR(VLOOKUP($A63,'[18]1'!$A$5:$E$1048576,3,0),0)</f>
        <v/>
      </c>
      <c r="U63" s="86">
        <f>+IFERROR(VLOOKUP($A63,[19]Balans!$A$5:$E$1048576,3,0),0)</f>
        <v/>
      </c>
      <c r="V63" s="86">
        <f>+IFERROR(VLOOKUP($A63,'[20]1'!$A$5:$E$1048576,3,0),0)</f>
        <v/>
      </c>
      <c r="W63" s="86">
        <f>+IFERROR(VLOOKUP($A63,[21]Balance!$A$5:$E$1048576,3,0),0)</f>
        <v/>
      </c>
      <c r="X63" s="86">
        <f>+IFERROR(VLOOKUP($A63,'[22]1'!$A$5:$E$1048576,3,0),0)</f>
        <v/>
      </c>
      <c r="Y63" s="86">
        <f>+IFERROR(VLOOKUP($A63,[23]Лист1!$A$5:$E$1048576,3,0),0)</f>
        <v/>
      </c>
      <c r="Z63" s="86">
        <f>+IFERROR(VLOOKUP($A63,'[24]1'!$A$5:$E$1048576,3,0),0)</f>
        <v/>
      </c>
      <c r="AA63" s="86">
        <f>+IFERROR(VLOOKUP($A63,[25]Balance!$A$5:$E$1048576,3,0),0)</f>
        <v/>
      </c>
      <c r="AB63" s="86">
        <f>+IFERROR(VLOOKUP($A63,'[26]1'!$A$5:$E$1048576,3,0),0)</f>
        <v/>
      </c>
      <c r="AC63" s="86">
        <f>+IFERROR(VLOOKUP($A63,'[27]1'!$A$5:$E$1048576,3,0),0)</f>
        <v/>
      </c>
      <c r="AD63" s="86">
        <f>+IFERROR(VLOOKUP($A63,'[28]1'!$A$5:$E$1048576,3,0),0)</f>
        <v/>
      </c>
      <c r="AE63" s="86">
        <f>+IFERROR(VLOOKUP($A63,[29]Лист1!$A$5:$E$1048576,3,0),0)</f>
        <v/>
      </c>
      <c r="AF63" s="86">
        <f>+IFERROR(VLOOKUP($A63,'[30]1'!$A$5:$E$1048576,3,0),0)</f>
        <v/>
      </c>
      <c r="AG63" s="86">
        <f>+IFERROR(VLOOKUP($A63,'[31]1'!$A$5:$E$1048576,3,0),0)</f>
        <v/>
      </c>
      <c r="AH63" s="86">
        <f>+IFERROR(VLOOKUP($A63,'[32]1-жадвал'!$A$5:$E$1048576,3,0),0)</f>
        <v/>
      </c>
      <c r="AI63" s="248">
        <f>+IFERROR(VLOOKUP($A63,[33]Balance!$A$5:$E$1048576,3,0),0)</f>
        <v/>
      </c>
      <c r="AJ63" s="100">
        <f>+IFERROR(VLOOKUP($A63,[34]Balance!$A$5:$E$1048576,3,0),0)</f>
        <v/>
      </c>
      <c r="AK63" s="100">
        <f>+IFERROR(VLOOKUP($A63,'[35]1'!$A$5:$E$1048576,3,0),0)</f>
        <v/>
      </c>
      <c r="AM63" s="188" t="n"/>
    </row>
    <row r="64">
      <c r="A64" s="183" t="n"/>
      <c r="B64" s="87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86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  <c r="AI64" s="248" t="n"/>
      <c r="AJ64" s="100" t="n"/>
      <c r="AK64" s="100" t="n"/>
      <c r="AM64" s="188" t="n"/>
    </row>
    <row r="65">
      <c r="A65" s="96" t="n"/>
      <c r="B65" s="92" t="inlineStr">
        <is>
          <t>ХУСУСИЙ КАПИТАЛ</t>
        </is>
      </c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  <c r="R65" s="93" t="n"/>
      <c r="S65" s="93" t="n"/>
      <c r="T65" s="93" t="n"/>
      <c r="U65" s="93" t="n"/>
      <c r="V65" s="93" t="n"/>
      <c r="W65" s="93" t="n"/>
      <c r="X65" s="93" t="n"/>
      <c r="Y65" s="93" t="n"/>
      <c r="Z65" s="93" t="n"/>
      <c r="AA65" s="186" t="n"/>
      <c r="AB65" s="93" t="n"/>
      <c r="AC65" s="93" t="n"/>
      <c r="AD65" s="93" t="n"/>
      <c r="AE65" s="93" t="n"/>
      <c r="AF65" s="93" t="n"/>
      <c r="AG65" s="93" t="n"/>
      <c r="AH65" s="93" t="n"/>
      <c r="AI65" s="249" t="n"/>
      <c r="AJ65" s="254" t="n"/>
      <c r="AK65" s="254" t="n"/>
      <c r="AP65" s="210" t="n">
        <v>784488</v>
      </c>
    </row>
    <row r="66">
      <c r="A66" s="95" t="inlineStr">
        <is>
          <t>30</t>
        </is>
      </c>
      <c r="B66" s="89" t="inlineStr">
        <is>
          <t>Устав капитали</t>
        </is>
      </c>
      <c r="C66" s="86">
        <f>+IFERROR(VLOOKUP($A66,[1]Лист1!$A$5:$E$1048576,3,0),0)</f>
        <v/>
      </c>
      <c r="D66" s="86">
        <f>+IFERROR(VLOOKUP($A66,'[2]1'!$A$5:$E$1048576,3,0),0)</f>
        <v/>
      </c>
      <c r="E66" s="86">
        <f>+IFERROR(VLOOKUP($A66,'[3]1'!$A$5:$E$1048576,3,0),0)</f>
        <v/>
      </c>
      <c r="F66" s="86">
        <f>+IFERROR(VLOOKUP($A66,[4]Balance!$A$5:$E$1048576,3,0),0)</f>
        <v/>
      </c>
      <c r="G66" s="86">
        <f>+IFERROR(VLOOKUP($A66,'[5]1'!$A$5:$E$1048576,3,0),0)</f>
        <v/>
      </c>
      <c r="H66" s="86">
        <f>+IFERROR(VLOOKUP($A66,[6]Balance!$A$5:$E$1048576,3,0),0)</f>
        <v/>
      </c>
      <c r="I66" s="86">
        <f>+IFERROR(VLOOKUP($A66,[7]Balance!$A$5:$E$1048576,3,0),0)</f>
        <v/>
      </c>
      <c r="J66" s="86">
        <f>+IFERROR(VLOOKUP($A66,'[8]1'!$A$5:$E$1048576,3,0),0)</f>
        <v/>
      </c>
      <c r="K66" s="86">
        <f>+IFERROR(VLOOKUP($A66,'[9]1'!$A$5:$E$1048576,3,0),0)</f>
        <v/>
      </c>
      <c r="L66" s="86">
        <f>+IFERROR(VLOOKUP($A66,'[10]1'!$A$5:$E$1048576,3,0),0)</f>
        <v/>
      </c>
      <c r="M66" s="86">
        <f>+IFERROR(VLOOKUP($A66,'[11]1'!$A$5:$E$1048576,3,0),0)</f>
        <v/>
      </c>
      <c r="N66" s="86">
        <f>+IFERROR(VLOOKUP($A66,[12]Balance!$A$5:$E$1048576,3,0),0)</f>
        <v/>
      </c>
      <c r="O66" s="86">
        <f>+IFERROR(VLOOKUP($A66,'[13]1 т'!$A$5:$E$1048576,3,0),0)</f>
        <v/>
      </c>
      <c r="P66" s="86">
        <f>+IFERROR(VLOOKUP($A66,[14]Balance!$A$5:$E$1048576,3,0),0)</f>
        <v/>
      </c>
      <c r="Q66" s="86">
        <f>+IFERROR(VLOOKUP($A66,[15]Balance!$A$5:$E$1048576,3,0),0)</f>
        <v/>
      </c>
      <c r="R66" s="86">
        <f>+IFERROR(VLOOKUP($A66,'[16]1'!$A$5:$E$1048576,3,0),0)</f>
        <v/>
      </c>
      <c r="S66" s="86">
        <f>+IFERROR(VLOOKUP($A66,'[17]1'!$A$5:$E$1048576,3,0),0)</f>
        <v/>
      </c>
      <c r="T66" s="86">
        <f>+IFERROR(VLOOKUP($A66,'[18]1'!$A$5:$E$1048576,3,0),0)</f>
        <v/>
      </c>
      <c r="U66" s="86">
        <f>+IFERROR(VLOOKUP($A66,[19]Balans!$A$5:$E$1048576,3,0),0)</f>
        <v/>
      </c>
      <c r="V66" s="86">
        <f>+IFERROR(VLOOKUP($A66,'[20]1'!$A$5:$E$1048576,3,0),0)</f>
        <v/>
      </c>
      <c r="W66" s="86">
        <f>+IFERROR(VLOOKUP($A66,[21]Balance!$A$5:$E$1048576,3,0),0)</f>
        <v/>
      </c>
      <c r="X66" s="86">
        <f>+IFERROR(VLOOKUP($A66,'[22]1'!$A$5:$E$1048576,3,0),0)</f>
        <v/>
      </c>
      <c r="Y66" s="86">
        <f>+IFERROR(VLOOKUP($A66,[23]Лист1!$A$5:$E$1048576,3,0),0)</f>
        <v/>
      </c>
      <c r="Z66" s="86">
        <f>+IFERROR(VLOOKUP($A66,'[24]1'!$A$5:$E$1048576,3,0),0)</f>
        <v/>
      </c>
      <c r="AA66" s="86">
        <f>+IFERROR(VLOOKUP($A66,[25]Balance!$A$5:$E$1048576,3,0),0)</f>
        <v/>
      </c>
      <c r="AB66" s="86">
        <f>+IFERROR(VLOOKUP($A66,'[26]1'!$A$5:$E$1048576,3,0),0)</f>
        <v/>
      </c>
      <c r="AC66" s="86">
        <f>+IFERROR(VLOOKUP($A66,'[27]1'!$A$5:$E$1048576,3,0),0)</f>
        <v/>
      </c>
      <c r="AD66" s="86">
        <f>+IFERROR(VLOOKUP($A66,'[28]1'!$A$5:$E$1048576,3,0),0)</f>
        <v/>
      </c>
      <c r="AE66" s="86">
        <f>+IFERROR(VLOOKUP($A66,[29]Лист1!$A$5:$E$1048576,3,0),0)</f>
        <v/>
      </c>
      <c r="AF66" s="86">
        <f>+IFERROR(VLOOKUP($A66,'[30]1'!$A$5:$E$1048576,3,0),0)</f>
        <v/>
      </c>
      <c r="AG66" s="86">
        <f>+IFERROR(VLOOKUP($A66,'[31]1'!$A$5:$E$1048576,3,0),0)</f>
        <v/>
      </c>
      <c r="AH66" s="86">
        <f>+IFERROR(VLOOKUP($A66,'[32]1-жадвал'!$A$5:$E$1048576,3,0),0)</f>
        <v/>
      </c>
      <c r="AI66" s="248">
        <f>+IFERROR(VLOOKUP($A66,[33]Balance!$A$5:$E$1048576,3,0),0)</f>
        <v/>
      </c>
      <c r="AJ66" s="100">
        <f>+IFERROR(VLOOKUP($A66,[34]Balance!$A$5:$E$1048576,3,0),0)</f>
        <v/>
      </c>
      <c r="AK66" s="100">
        <f>+IFERROR(VLOOKUP($A66,'[35]1'!$A$5:$E$1048576,3,0),0)</f>
        <v/>
      </c>
      <c r="AP66" s="210">
        <f>+#REF!+AP65</f>
        <v/>
      </c>
    </row>
    <row r="67">
      <c r="A67" s="88" t="inlineStr">
        <is>
          <t>30.1</t>
        </is>
      </c>
      <c r="B67" s="89" t="inlineStr">
        <is>
          <t>Aкциялар – оддий</t>
        </is>
      </c>
      <c r="C67" s="86">
        <f>+IFERROR(VLOOKUP($A67,[1]Лист1!$A$5:$E$1048576,3,0),0)</f>
        <v/>
      </c>
      <c r="D67" s="86">
        <f>+IFERROR(VLOOKUP($A67,'[2]1'!$A$5:$E$1048576,3,0),0)</f>
        <v/>
      </c>
      <c r="E67" s="86">
        <f>+IFERROR(VLOOKUP($A67,'[3]1'!$A$5:$E$1048576,3,0),0)</f>
        <v/>
      </c>
      <c r="F67" s="86">
        <f>+IFERROR(VLOOKUP($A67,[4]Balance!$A$5:$E$1048576,3,0),0)</f>
        <v/>
      </c>
      <c r="G67" s="86">
        <f>+IFERROR(VLOOKUP($A67,'[5]1'!$A$5:$E$1048576,3,0),0)</f>
        <v/>
      </c>
      <c r="H67" s="86">
        <f>+IFERROR(VLOOKUP($A67,[6]Balance!$A$5:$E$1048576,3,0),0)</f>
        <v/>
      </c>
      <c r="I67" s="86">
        <f>+IFERROR(VLOOKUP($A67,[7]Balance!$A$5:$E$1048576,3,0),0)</f>
        <v/>
      </c>
      <c r="J67" s="86">
        <f>+IFERROR(VLOOKUP($A67,'[8]1'!$A$5:$E$1048576,3,0),0)</f>
        <v/>
      </c>
      <c r="K67" s="86">
        <f>+IFERROR(VLOOKUP($A67,'[9]1'!$A$5:$E$1048576,3,0),0)</f>
        <v/>
      </c>
      <c r="L67" s="86">
        <f>+IFERROR(VLOOKUP($A67,'[10]1'!$A$5:$E$1048576,3,0),0)</f>
        <v/>
      </c>
      <c r="M67" s="86">
        <f>+IFERROR(VLOOKUP($A67,'[11]1'!$A$5:$E$1048576,3,0),0)</f>
        <v/>
      </c>
      <c r="N67" s="86">
        <f>+IFERROR(VLOOKUP($A67,[12]Balance!$A$5:$E$1048576,3,0),0)</f>
        <v/>
      </c>
      <c r="O67" s="86">
        <f>+IFERROR(VLOOKUP($A67,'[13]1 т'!$A$5:$E$1048576,3,0),0)</f>
        <v/>
      </c>
      <c r="P67" s="86">
        <f>+IFERROR(VLOOKUP($A67,[14]Balance!$A$5:$E$1048576,3,0),0)</f>
        <v/>
      </c>
      <c r="Q67" s="86">
        <f>+IFERROR(VLOOKUP($A67,[15]Balance!$A$5:$E$1048576,3,0),0)</f>
        <v/>
      </c>
      <c r="R67" s="86">
        <f>+IFERROR(VLOOKUP($A67,'[16]1'!$A$5:$E$1048576,3,0),0)</f>
        <v/>
      </c>
      <c r="S67" s="86">
        <f>+IFERROR(VLOOKUP($A67,'[17]1'!$A$5:$E$1048576,3,0),0)</f>
        <v/>
      </c>
      <c r="T67" s="86">
        <f>+IFERROR(VLOOKUP($A67,'[18]1'!$A$5:$E$1048576,3,0),0)</f>
        <v/>
      </c>
      <c r="U67" s="86">
        <f>+IFERROR(VLOOKUP($A67,[19]Balans!$A$5:$E$1048576,3,0),0)</f>
        <v/>
      </c>
      <c r="V67" s="86">
        <f>+IFERROR(VLOOKUP($A67,'[20]1'!$A$5:$E$1048576,3,0),0)</f>
        <v/>
      </c>
      <c r="W67" s="86">
        <f>+IFERROR(VLOOKUP($A67,[21]Balance!$A$5:$E$1048576,3,0),0)</f>
        <v/>
      </c>
      <c r="X67" s="86">
        <f>+IFERROR(VLOOKUP($A67,'[22]1'!$A$5:$E$1048576,3,0),0)</f>
        <v/>
      </c>
      <c r="Y67" s="86">
        <f>+IFERROR(VLOOKUP($A67,[23]Лист1!$A$5:$E$1048576,3,0),0)</f>
        <v/>
      </c>
      <c r="Z67" s="86">
        <f>+IFERROR(VLOOKUP($A67,'[24]1'!$A$5:$E$1048576,3,0),0)</f>
        <v/>
      </c>
      <c r="AA67" s="86">
        <f>+IFERROR(VLOOKUP($A67,[25]Balance!$A$5:$E$1048576,3,0),0)</f>
        <v/>
      </c>
      <c r="AB67" s="86">
        <f>+IFERROR(VLOOKUP($A67,'[26]1'!$A$5:$E$1048576,3,0),0)</f>
        <v/>
      </c>
      <c r="AC67" s="86">
        <f>+IFERROR(VLOOKUP($A67,'[27]1'!$A$5:$E$1048576,3,0),0)</f>
        <v/>
      </c>
      <c r="AD67" s="86">
        <f>+IFERROR(VLOOKUP($A67,'[28]1'!$A$5:$E$1048576,3,0),0)</f>
        <v/>
      </c>
      <c r="AE67" s="86">
        <f>+IFERROR(VLOOKUP($A67,[29]Лист1!$A$5:$E$1048576,3,0),0)</f>
        <v/>
      </c>
      <c r="AF67" s="86">
        <f>+IFERROR(VLOOKUP($A67,'[30]1'!$A$5:$E$1048576,3,0),0)</f>
        <v/>
      </c>
      <c r="AG67" s="86">
        <f>+IFERROR(VLOOKUP($A67,'[31]1'!$A$5:$E$1048576,3,0),0)</f>
        <v/>
      </c>
      <c r="AH67" s="86">
        <f>+IFERROR(VLOOKUP($A67,'[32]1-жадвал'!$A$5:$E$1048576,3,0),0)</f>
        <v/>
      </c>
      <c r="AI67" s="248">
        <f>+IFERROR(VLOOKUP($A67,[33]Balance!$A$5:$E$1048576,3,0),0)</f>
        <v/>
      </c>
      <c r="AJ67" s="100">
        <f>+IFERROR(VLOOKUP($A67,[34]Balance!$A$5:$E$1048576,3,0),0)</f>
        <v/>
      </c>
      <c r="AK67" s="100">
        <f>+IFERROR(VLOOKUP($A67,'[35]1'!$A$5:$E$1048576,3,0),0)</f>
        <v/>
      </c>
    </row>
    <row r="68">
      <c r="A68" s="183" t="inlineStr">
        <is>
          <t>30.2</t>
        </is>
      </c>
      <c r="B68" s="89" t="inlineStr">
        <is>
          <t>Aкциялар – имтиёзли</t>
        </is>
      </c>
      <c r="C68" s="86">
        <f>+IFERROR(VLOOKUP($A68,[1]Лист1!$A$5:$E$1048576,3,0),0)</f>
        <v/>
      </c>
      <c r="D68" s="86">
        <f>+IFERROR(VLOOKUP($A68,'[2]1'!$A$5:$E$1048576,3,0),0)</f>
        <v/>
      </c>
      <c r="E68" s="86">
        <f>+IFERROR(VLOOKUP($A68,'[3]1'!$A$5:$E$1048576,3,0),0)</f>
        <v/>
      </c>
      <c r="F68" s="86">
        <f>+IFERROR(VLOOKUP($A68,[4]Balance!$A$5:$E$1048576,3,0),0)</f>
        <v/>
      </c>
      <c r="G68" s="86">
        <f>+IFERROR(VLOOKUP($A68,'[5]1'!$A$5:$E$1048576,3,0),0)</f>
        <v/>
      </c>
      <c r="H68" s="86">
        <f>+IFERROR(VLOOKUP($A68,[6]Balance!$A$5:$E$1048576,3,0),0)</f>
        <v/>
      </c>
      <c r="I68" s="86">
        <f>+IFERROR(VLOOKUP($A68,[7]Balance!$A$5:$E$1048576,3,0),0)</f>
        <v/>
      </c>
      <c r="J68" s="86">
        <f>+IFERROR(VLOOKUP($A68,'[8]1'!$A$5:$E$1048576,3,0),0)</f>
        <v/>
      </c>
      <c r="K68" s="86">
        <f>+IFERROR(VLOOKUP($A68,'[9]1'!$A$5:$E$1048576,3,0),0)</f>
        <v/>
      </c>
      <c r="L68" s="86">
        <f>+IFERROR(VLOOKUP($A68,'[10]1'!$A$5:$E$1048576,3,0),0)</f>
        <v/>
      </c>
      <c r="M68" s="86">
        <f>+IFERROR(VLOOKUP($A68,'[11]1'!$A$5:$E$1048576,3,0),0)</f>
        <v/>
      </c>
      <c r="N68" s="86">
        <f>+IFERROR(VLOOKUP($A68,[12]Balance!$A$5:$E$1048576,3,0),0)</f>
        <v/>
      </c>
      <c r="O68" s="86">
        <f>+IFERROR(VLOOKUP($A68,'[13]1 т'!$A$5:$E$1048576,3,0),0)</f>
        <v/>
      </c>
      <c r="P68" s="86">
        <f>+IFERROR(VLOOKUP($A68,[14]Balance!$A$5:$E$1048576,3,0),0)</f>
        <v/>
      </c>
      <c r="Q68" s="86">
        <f>+IFERROR(VLOOKUP($A68,[15]Balance!$A$5:$E$1048576,3,0),0)</f>
        <v/>
      </c>
      <c r="R68" s="86">
        <f>+IFERROR(VLOOKUP($A68,'[16]1'!$A$5:$E$1048576,3,0),0)</f>
        <v/>
      </c>
      <c r="S68" s="86">
        <f>+IFERROR(VLOOKUP($A68,'[17]1'!$A$5:$E$1048576,3,0),0)</f>
        <v/>
      </c>
      <c r="T68" s="86">
        <f>+IFERROR(VLOOKUP($A68,'[18]1'!$A$5:$E$1048576,3,0),0)</f>
        <v/>
      </c>
      <c r="U68" s="86">
        <f>+IFERROR(VLOOKUP($A68,[19]Balans!$A$5:$E$1048576,3,0),0)</f>
        <v/>
      </c>
      <c r="V68" s="86">
        <f>+IFERROR(VLOOKUP($A68,'[20]1'!$A$5:$E$1048576,3,0),0)</f>
        <v/>
      </c>
      <c r="W68" s="86">
        <f>+IFERROR(VLOOKUP($A68,[21]Balance!$A$5:$E$1048576,3,0),0)</f>
        <v/>
      </c>
      <c r="X68" s="86">
        <f>+IFERROR(VLOOKUP($A68,'[22]1'!$A$5:$E$1048576,3,0),0)</f>
        <v/>
      </c>
      <c r="Y68" s="86">
        <f>+IFERROR(VLOOKUP($A68,[23]Лист1!$A$5:$E$1048576,3,0),0)</f>
        <v/>
      </c>
      <c r="Z68" s="86">
        <f>+IFERROR(VLOOKUP($A68,'[24]1'!$A$5:$E$1048576,3,0),0)</f>
        <v/>
      </c>
      <c r="AA68" s="86">
        <f>+IFERROR(VLOOKUP($A68,[25]Balance!$A$5:$E$1048576,3,0),0)</f>
        <v/>
      </c>
      <c r="AB68" s="86">
        <f>+IFERROR(VLOOKUP($A68,'[26]1'!$A$5:$E$1048576,3,0),0)</f>
        <v/>
      </c>
      <c r="AC68" s="86">
        <f>+IFERROR(VLOOKUP($A68,'[27]1'!$A$5:$E$1048576,3,0),0)</f>
        <v/>
      </c>
      <c r="AD68" s="86">
        <f>+IFERROR(VLOOKUP($A68,'[28]1'!$A$5:$E$1048576,3,0),0)</f>
        <v/>
      </c>
      <c r="AE68" s="86">
        <f>+IFERROR(VLOOKUP($A68,[29]Лист1!$A$5:$E$1048576,3,0),0)</f>
        <v/>
      </c>
      <c r="AF68" s="86">
        <f>+IFERROR(VLOOKUP($A68,'[30]1'!$A$5:$E$1048576,3,0),0)</f>
        <v/>
      </c>
      <c r="AG68" s="86">
        <f>+IFERROR(VLOOKUP($A68,'[31]1'!$A$5:$E$1048576,3,0),0)</f>
        <v/>
      </c>
      <c r="AH68" s="86">
        <f>+IFERROR(VLOOKUP($A68,'[32]1-жадвал'!$A$5:$E$1048576,3,0),0)</f>
        <v/>
      </c>
      <c r="AI68" s="248">
        <f>+IFERROR(VLOOKUP($A68,[33]Balance!$A$5:$E$1048576,3,0),0)</f>
        <v/>
      </c>
      <c r="AJ68" s="100">
        <f>+IFERROR(VLOOKUP($A68,[34]Balance!$A$5:$E$1048576,3,0),0)</f>
        <v/>
      </c>
      <c r="AK68" s="100">
        <f>+IFERROR(VLOOKUP($A68,'[35]1'!$A$5:$E$1048576,3,0),0)</f>
        <v/>
      </c>
    </row>
    <row r="69">
      <c r="A69" s="183" t="inlineStr">
        <is>
          <t>31</t>
        </is>
      </c>
      <c r="B69" s="89" t="inlineStr">
        <is>
          <t xml:space="preserve">Қўшилган капитал </t>
        </is>
      </c>
      <c r="C69" s="86">
        <f>+IFERROR(VLOOKUP($A69,[1]Лист1!$A$5:$E$1048576,3,0),0)</f>
        <v/>
      </c>
      <c r="D69" s="86">
        <f>+IFERROR(VLOOKUP($A69,'[2]1'!$A$5:$E$1048576,3,0),0)</f>
        <v/>
      </c>
      <c r="E69" s="86">
        <f>+IFERROR(VLOOKUP($A69,'[3]1'!$A$5:$E$1048576,3,0),0)</f>
        <v/>
      </c>
      <c r="F69" s="86">
        <f>+IFERROR(VLOOKUP($A69,[4]Balance!$A$5:$E$1048576,3,0),0)</f>
        <v/>
      </c>
      <c r="G69" s="86">
        <f>+IFERROR(VLOOKUP($A69,'[5]1'!$A$5:$E$1048576,3,0),0)</f>
        <v/>
      </c>
      <c r="H69" s="86">
        <f>+IFERROR(VLOOKUP($A69,[6]Balance!$A$5:$E$1048576,3,0),0)</f>
        <v/>
      </c>
      <c r="I69" s="86">
        <f>+IFERROR(VLOOKUP($A69,[7]Balance!$A$5:$E$1048576,3,0),0)</f>
        <v/>
      </c>
      <c r="J69" s="86">
        <f>+IFERROR(VLOOKUP($A69,'[8]1'!$A$5:$E$1048576,3,0),0)</f>
        <v/>
      </c>
      <c r="K69" s="86">
        <f>+IFERROR(VLOOKUP($A69,'[9]1'!$A$5:$E$1048576,3,0),0)</f>
        <v/>
      </c>
      <c r="L69" s="86">
        <f>+IFERROR(VLOOKUP($A69,'[10]1'!$A$5:$E$1048576,3,0),0)</f>
        <v/>
      </c>
      <c r="M69" s="86">
        <f>+IFERROR(VLOOKUP($A69,'[11]1'!$A$5:$E$1048576,3,0),0)</f>
        <v/>
      </c>
      <c r="N69" s="86">
        <f>+IFERROR(VLOOKUP($A69,[12]Balance!$A$5:$E$1048576,3,0),0)</f>
        <v/>
      </c>
      <c r="O69" s="86">
        <f>+IFERROR(VLOOKUP($A69,'[13]1 т'!$A$5:$E$1048576,3,0),0)</f>
        <v/>
      </c>
      <c r="P69" s="86">
        <f>+IFERROR(VLOOKUP($A69,[14]Balance!$A$5:$E$1048576,3,0),0)</f>
        <v/>
      </c>
      <c r="Q69" s="86">
        <f>+IFERROR(VLOOKUP($A69,[15]Balance!$A$5:$E$1048576,3,0),0)</f>
        <v/>
      </c>
      <c r="R69" s="86">
        <f>+IFERROR(VLOOKUP($A69,'[16]1'!$A$5:$E$1048576,3,0),0)</f>
        <v/>
      </c>
      <c r="S69" s="86">
        <f>+IFERROR(VLOOKUP($A69,'[17]1'!$A$5:$E$1048576,3,0),0)</f>
        <v/>
      </c>
      <c r="T69" s="86">
        <f>+IFERROR(VLOOKUP($A69,'[18]1'!$A$5:$E$1048576,3,0),0)</f>
        <v/>
      </c>
      <c r="U69" s="86">
        <f>+IFERROR(VLOOKUP($A69,[19]Balans!$A$5:$E$1048576,3,0),0)</f>
        <v/>
      </c>
      <c r="V69" s="86">
        <f>+IFERROR(VLOOKUP($A69,'[20]1'!$A$5:$E$1048576,3,0),0)</f>
        <v/>
      </c>
      <c r="W69" s="86">
        <f>+IFERROR(VLOOKUP($A69,[21]Balance!$A$5:$E$1048576,3,0),0)</f>
        <v/>
      </c>
      <c r="X69" s="86">
        <f>+IFERROR(VLOOKUP($A69,'[22]1'!$A$5:$E$1048576,3,0),0)</f>
        <v/>
      </c>
      <c r="Y69" s="86">
        <f>+IFERROR(VLOOKUP($A69,[23]Лист1!$A$5:$E$1048576,3,0),0)</f>
        <v/>
      </c>
      <c r="Z69" s="86">
        <f>+IFERROR(VLOOKUP($A69,'[24]1'!$A$5:$E$1048576,3,0),0)</f>
        <v/>
      </c>
      <c r="AA69" s="86">
        <f>+IFERROR(VLOOKUP($A69,[25]Balance!$A$5:$E$1048576,3,0),0)</f>
        <v/>
      </c>
      <c r="AB69" s="86">
        <f>+IFERROR(VLOOKUP($A69,'[26]1'!$A$5:$E$1048576,3,0),0)</f>
        <v/>
      </c>
      <c r="AC69" s="86">
        <f>+IFERROR(VLOOKUP($A69,'[27]1'!$A$5:$E$1048576,3,0),0)</f>
        <v/>
      </c>
      <c r="AD69" s="86">
        <f>+IFERROR(VLOOKUP($A69,'[28]1'!$A$5:$E$1048576,3,0),0)</f>
        <v/>
      </c>
      <c r="AE69" s="86">
        <f>+IFERROR(VLOOKUP($A69,[29]Лист1!$A$5:$E$1048576,3,0),0)</f>
        <v/>
      </c>
      <c r="AF69" s="86">
        <f>+IFERROR(VLOOKUP($A69,'[30]1'!$A$5:$E$1048576,3,0),0)</f>
        <v/>
      </c>
      <c r="AG69" s="86">
        <f>+IFERROR(VLOOKUP($A69,'[31]1'!$A$5:$E$1048576,3,0),0)</f>
        <v/>
      </c>
      <c r="AH69" s="86">
        <f>+IFERROR(VLOOKUP($A69,'[32]1-жадвал'!$A$5:$E$1048576,3,0),0)</f>
        <v/>
      </c>
      <c r="AI69" s="248">
        <f>+IFERROR(VLOOKUP($A69,[33]Balance!$A$5:$E$1048576,3,0),0)</f>
        <v/>
      </c>
      <c r="AJ69" s="100">
        <f>+IFERROR(VLOOKUP($A69,[34]Balance!$A$5:$E$1048576,3,0),0)</f>
        <v/>
      </c>
      <c r="AK69" s="100">
        <f>+IFERROR(VLOOKUP($A69,'[35]1'!$A$5:$E$1048576,3,0),0)</f>
        <v/>
      </c>
    </row>
    <row r="70">
      <c r="A70" s="183" t="inlineStr">
        <is>
          <t>32</t>
        </is>
      </c>
      <c r="B70" s="97" t="inlineStr">
        <is>
          <t>Захира капитали</t>
        </is>
      </c>
      <c r="C70" s="86">
        <f>+IFERROR(VLOOKUP($A70,[1]Лист1!$A$5:$E$1048576,3,0),0)</f>
        <v/>
      </c>
      <c r="D70" s="86">
        <f>+IFERROR(VLOOKUP($A70,'[2]1'!$A$5:$E$1048576,3,0),0)</f>
        <v/>
      </c>
      <c r="E70" s="86">
        <f>+IFERROR(VLOOKUP($A70,'[3]1'!$A$5:$E$1048576,3,0),0)</f>
        <v/>
      </c>
      <c r="F70" s="86">
        <f>+IFERROR(VLOOKUP($A70,[4]Balance!$A$5:$E$1048576,3,0),0)</f>
        <v/>
      </c>
      <c r="G70" s="86">
        <f>+IFERROR(VLOOKUP($A70,'[5]1'!$A$5:$E$1048576,3,0),0)</f>
        <v/>
      </c>
      <c r="H70" s="86">
        <f>+IFERROR(VLOOKUP($A70,[6]Balance!$A$5:$E$1048576,3,0),0)</f>
        <v/>
      </c>
      <c r="I70" s="86">
        <f>+IFERROR(VLOOKUP($A70,[7]Balance!$A$5:$E$1048576,3,0),0)</f>
        <v/>
      </c>
      <c r="J70" s="86">
        <f>+IFERROR(VLOOKUP($A70,'[8]1'!$A$5:$E$1048576,3,0),0)</f>
        <v/>
      </c>
      <c r="K70" s="86">
        <f>+IFERROR(VLOOKUP($A70,'[9]1'!$A$5:$E$1048576,3,0),0)</f>
        <v/>
      </c>
      <c r="L70" s="86">
        <f>+IFERROR(VLOOKUP($A70,'[10]1'!$A$5:$E$1048576,3,0),0)</f>
        <v/>
      </c>
      <c r="M70" s="86">
        <f>+IFERROR(VLOOKUP($A70,'[11]1'!$A$5:$E$1048576,3,0),0)</f>
        <v/>
      </c>
      <c r="N70" s="86">
        <f>+IFERROR(VLOOKUP($A70,[12]Balance!$A$5:$E$1048576,3,0),0)</f>
        <v/>
      </c>
      <c r="O70" s="86">
        <f>+IFERROR(VLOOKUP($A70,'[13]1 т'!$A$5:$E$1048576,3,0),0)</f>
        <v/>
      </c>
      <c r="P70" s="86">
        <f>+IFERROR(VLOOKUP($A70,[14]Balance!$A$5:$E$1048576,3,0),0)</f>
        <v/>
      </c>
      <c r="Q70" s="86">
        <f>+IFERROR(VLOOKUP($A70,[15]Balance!$A$5:$E$1048576,3,0),0)</f>
        <v/>
      </c>
      <c r="R70" s="86">
        <f>+IFERROR(VLOOKUP($A70,'[16]1'!$A$5:$E$1048576,3,0),0)</f>
        <v/>
      </c>
      <c r="S70" s="86">
        <f>+IFERROR(VLOOKUP($A70,'[17]1'!$A$5:$E$1048576,3,0),0)</f>
        <v/>
      </c>
      <c r="T70" s="86">
        <f>+IFERROR(VLOOKUP($A70,'[18]1'!$A$5:$E$1048576,3,0),0)</f>
        <v/>
      </c>
      <c r="U70" s="86">
        <f>+IFERROR(VLOOKUP($A70,[19]Balans!$A$5:$E$1048576,3,0),0)</f>
        <v/>
      </c>
      <c r="V70" s="86">
        <f>+IFERROR(VLOOKUP($A70,'[20]1'!$A$5:$E$1048576,3,0),0)</f>
        <v/>
      </c>
      <c r="W70" s="86">
        <f>+IFERROR(VLOOKUP($A70,[21]Balance!$A$5:$E$1048576,3,0),0)</f>
        <v/>
      </c>
      <c r="X70" s="86">
        <f>+IFERROR(VLOOKUP($A70,'[22]1'!$A$5:$E$1048576,3,0),0)</f>
        <v/>
      </c>
      <c r="Y70" s="86">
        <f>+IFERROR(VLOOKUP($A70,[23]Лист1!$A$5:$E$1048576,3,0),0)</f>
        <v/>
      </c>
      <c r="Z70" s="86">
        <f>+IFERROR(VLOOKUP($A70,'[24]1'!$A$5:$E$1048576,3,0),0)</f>
        <v/>
      </c>
      <c r="AA70" s="86">
        <f>+IFERROR(VLOOKUP($A70,[25]Balance!$A$5:$E$1048576,3,0),0)</f>
        <v/>
      </c>
      <c r="AB70" s="86">
        <f>+IFERROR(VLOOKUP($A70,'[26]1'!$A$5:$E$1048576,3,0),0)</f>
        <v/>
      </c>
      <c r="AC70" s="86">
        <f>+IFERROR(VLOOKUP($A70,'[27]1'!$A$5:$E$1048576,3,0),0)</f>
        <v/>
      </c>
      <c r="AD70" s="86">
        <f>+IFERROR(VLOOKUP($A70,'[28]1'!$A$5:$E$1048576,3,0),0)</f>
        <v/>
      </c>
      <c r="AE70" s="86">
        <f>+IFERROR(VLOOKUP($A70,[29]Лист1!$A$5:$E$1048576,3,0),0)</f>
        <v/>
      </c>
      <c r="AF70" s="86">
        <f>+IFERROR(VLOOKUP($A70,'[30]1'!$A$5:$E$1048576,3,0),0)</f>
        <v/>
      </c>
      <c r="AG70" s="86">
        <f>+IFERROR(VLOOKUP($A70,'[31]1'!$A$5:$E$1048576,3,0),0)</f>
        <v/>
      </c>
      <c r="AH70" s="86">
        <f>+IFERROR(VLOOKUP($A70,'[32]1-жадвал'!$A$5:$E$1048576,3,0),0)</f>
        <v/>
      </c>
      <c r="AI70" s="248">
        <f>+IFERROR(VLOOKUP($A70,[33]Balance!$A$5:$E$1048576,3,0),0)</f>
        <v/>
      </c>
      <c r="AJ70" s="100">
        <f>+IFERROR(VLOOKUP($A70,[34]Balance!$A$5:$E$1048576,3,0),0)</f>
        <v/>
      </c>
      <c r="AK70" s="100">
        <f>+IFERROR(VLOOKUP($A70,'[35]1'!$A$5:$E$1048576,3,0),0)</f>
        <v/>
      </c>
    </row>
    <row r="71">
      <c r="A71" s="183" t="inlineStr">
        <is>
          <t>32.1</t>
        </is>
      </c>
      <c r="B71" s="97" t="inlineStr">
        <is>
          <t>Умумий захира фонди</t>
        </is>
      </c>
      <c r="C71" s="86">
        <f>+IFERROR(VLOOKUP($A71,[1]Лист1!$A$5:$E$1048576,3,0),0)</f>
        <v/>
      </c>
      <c r="D71" s="86">
        <f>+IFERROR(VLOOKUP($A71,'[2]1'!$A$5:$E$1048576,3,0),0)</f>
        <v/>
      </c>
      <c r="E71" s="86">
        <f>+IFERROR(VLOOKUP($A71,'[3]1'!$A$5:$E$1048576,3,0),0)</f>
        <v/>
      </c>
      <c r="F71" s="86">
        <f>+IFERROR(VLOOKUP($A71,[4]Balance!$A$5:$E$1048576,3,0),0)</f>
        <v/>
      </c>
      <c r="G71" s="86">
        <f>+IFERROR(VLOOKUP($A71,'[5]1'!$A$5:$E$1048576,3,0),0)</f>
        <v/>
      </c>
      <c r="H71" s="86">
        <f>+IFERROR(VLOOKUP($A71,[6]Balance!$A$5:$E$1048576,3,0),0)</f>
        <v/>
      </c>
      <c r="I71" s="86">
        <f>+IFERROR(VLOOKUP($A71,[7]Balance!$A$5:$E$1048576,3,0),0)</f>
        <v/>
      </c>
      <c r="J71" s="86">
        <f>+IFERROR(VLOOKUP($A71,'[8]1'!$A$5:$E$1048576,3,0),0)</f>
        <v/>
      </c>
      <c r="K71" s="86">
        <f>+IFERROR(VLOOKUP($A71,'[9]1'!$A$5:$E$1048576,3,0),0)</f>
        <v/>
      </c>
      <c r="L71" s="86">
        <f>+IFERROR(VLOOKUP($A71,'[10]1'!$A$5:$E$1048576,3,0),0)</f>
        <v/>
      </c>
      <c r="M71" s="86">
        <f>+IFERROR(VLOOKUP($A71,'[11]1'!$A$5:$E$1048576,3,0),0)</f>
        <v/>
      </c>
      <c r="N71" s="86">
        <f>+IFERROR(VLOOKUP($A71,[12]Balance!$A$5:$E$1048576,3,0),0)</f>
        <v/>
      </c>
      <c r="O71" s="86">
        <f>+IFERROR(VLOOKUP($A71,'[13]1 т'!$A$5:$E$1048576,3,0),0)</f>
        <v/>
      </c>
      <c r="P71" s="86">
        <f>+IFERROR(VLOOKUP($A71,[14]Balance!$A$5:$E$1048576,3,0),0)</f>
        <v/>
      </c>
      <c r="Q71" s="86">
        <f>+IFERROR(VLOOKUP($A71,[15]Balance!$A$5:$E$1048576,3,0),0)</f>
        <v/>
      </c>
      <c r="R71" s="86">
        <f>+IFERROR(VLOOKUP($A71,'[16]1'!$A$5:$E$1048576,3,0),0)</f>
        <v/>
      </c>
      <c r="S71" s="86">
        <f>+IFERROR(VLOOKUP($A71,'[17]1'!$A$5:$E$1048576,3,0),0)</f>
        <v/>
      </c>
      <c r="T71" s="86">
        <f>+IFERROR(VLOOKUP($A71,'[18]1'!$A$5:$E$1048576,3,0),0)</f>
        <v/>
      </c>
      <c r="U71" s="86">
        <f>+IFERROR(VLOOKUP($A71,[19]Balans!$A$5:$E$1048576,3,0),0)</f>
        <v/>
      </c>
      <c r="V71" s="86">
        <f>+IFERROR(VLOOKUP($A71,'[20]1'!$A$5:$E$1048576,3,0),0)</f>
        <v/>
      </c>
      <c r="W71" s="86">
        <f>+IFERROR(VLOOKUP($A71,[21]Balance!$A$5:$E$1048576,3,0),0)</f>
        <v/>
      </c>
      <c r="X71" s="86">
        <f>+IFERROR(VLOOKUP($A71,'[22]1'!$A$5:$E$1048576,3,0),0)</f>
        <v/>
      </c>
      <c r="Y71" s="86">
        <f>+IFERROR(VLOOKUP($A71,[23]Лист1!$A$5:$E$1048576,3,0),0)</f>
        <v/>
      </c>
      <c r="Z71" s="86">
        <f>+IFERROR(VLOOKUP($A71,'[24]1'!$A$5:$E$1048576,3,0),0)</f>
        <v/>
      </c>
      <c r="AA71" s="86">
        <f>+IFERROR(VLOOKUP($A71,[25]Balance!$A$5:$E$1048576,3,0),0)</f>
        <v/>
      </c>
      <c r="AB71" s="86">
        <f>+IFERROR(VLOOKUP($A71,'[26]1'!$A$5:$E$1048576,3,0),0)</f>
        <v/>
      </c>
      <c r="AC71" s="86">
        <f>+IFERROR(VLOOKUP($A71,'[27]1'!$A$5:$E$1048576,3,0),0)</f>
        <v/>
      </c>
      <c r="AD71" s="86">
        <f>+IFERROR(VLOOKUP($A71,'[28]1'!$A$5:$E$1048576,3,0),0)</f>
        <v/>
      </c>
      <c r="AE71" s="86">
        <f>+IFERROR(VLOOKUP($A71,[29]Лист1!$A$5:$E$1048576,3,0),0)</f>
        <v/>
      </c>
      <c r="AF71" s="86">
        <f>+IFERROR(VLOOKUP($A71,'[30]1'!$A$5:$E$1048576,3,0),0)</f>
        <v/>
      </c>
      <c r="AG71" s="86">
        <f>+IFERROR(VLOOKUP($A71,'[31]1'!$A$5:$E$1048576,3,0),0)</f>
        <v/>
      </c>
      <c r="AH71" s="86">
        <f>+IFERROR(VLOOKUP($A71,'[32]1-жадвал'!$A$5:$E$1048576,3,0),0)</f>
        <v/>
      </c>
      <c r="AI71" s="248">
        <f>+IFERROR(VLOOKUP($A71,[33]Balance!$A$5:$E$1048576,3,0),0)</f>
        <v/>
      </c>
      <c r="AJ71" s="100">
        <f>+IFERROR(VLOOKUP($A71,[34]Balance!$A$5:$E$1048576,3,0),0)</f>
        <v/>
      </c>
      <c r="AK71" s="100">
        <f>+IFERROR(VLOOKUP($A71,'[35]1'!$A$5:$E$1048576,3,0),0)</f>
        <v/>
      </c>
    </row>
    <row r="72">
      <c r="A72" s="183" t="inlineStr">
        <is>
          <t>32.2</t>
        </is>
      </c>
      <c r="B72" s="97" t="inlineStr">
        <is>
          <t>Девальвация учун захира</t>
        </is>
      </c>
      <c r="C72" s="86">
        <f>+IFERROR(VLOOKUP($A72,[1]Лист1!$A$5:$E$1048576,3,0),0)</f>
        <v/>
      </c>
      <c r="D72" s="86">
        <f>+IFERROR(VLOOKUP($A72,'[2]1'!$A$5:$E$1048576,3,0),0)</f>
        <v/>
      </c>
      <c r="E72" s="86">
        <f>+IFERROR(VLOOKUP($A72,'[3]1'!$A$5:$E$1048576,3,0),0)</f>
        <v/>
      </c>
      <c r="F72" s="86">
        <f>+IFERROR(VLOOKUP($A72,[4]Balance!$A$5:$E$1048576,3,0),0)</f>
        <v/>
      </c>
      <c r="G72" s="86">
        <f>+IFERROR(VLOOKUP($A72,'[5]1'!$A$5:$E$1048576,3,0),0)</f>
        <v/>
      </c>
      <c r="H72" s="86">
        <f>+IFERROR(VLOOKUP($A72,[6]Balance!$A$5:$E$1048576,3,0),0)</f>
        <v/>
      </c>
      <c r="I72" s="86">
        <f>+IFERROR(VLOOKUP($A72,[7]Balance!$A$5:$E$1048576,3,0),0)</f>
        <v/>
      </c>
      <c r="J72" s="86">
        <f>+IFERROR(VLOOKUP($A72,'[8]1'!$A$5:$E$1048576,3,0),0)</f>
        <v/>
      </c>
      <c r="K72" s="86">
        <f>+IFERROR(VLOOKUP($A72,'[9]1'!$A$5:$E$1048576,3,0),0)</f>
        <v/>
      </c>
      <c r="L72" s="86">
        <f>+IFERROR(VLOOKUP($A72,'[10]1'!$A$5:$E$1048576,3,0),0)</f>
        <v/>
      </c>
      <c r="M72" s="86">
        <f>+IFERROR(VLOOKUP($A72,'[11]1'!$A$5:$E$1048576,3,0),0)</f>
        <v/>
      </c>
      <c r="N72" s="86">
        <f>+IFERROR(VLOOKUP($A72,[12]Balance!$A$5:$E$1048576,3,0),0)</f>
        <v/>
      </c>
      <c r="O72" s="86">
        <f>+IFERROR(VLOOKUP($A72,'[13]1 т'!$A$5:$E$1048576,3,0),0)</f>
        <v/>
      </c>
      <c r="P72" s="86">
        <f>+IFERROR(VLOOKUP($A72,[14]Balance!$A$5:$E$1048576,3,0),0)</f>
        <v/>
      </c>
      <c r="Q72" s="86">
        <f>+IFERROR(VLOOKUP($A72,[15]Balance!$A$5:$E$1048576,3,0),0)</f>
        <v/>
      </c>
      <c r="R72" s="86">
        <f>+IFERROR(VLOOKUP($A72,'[16]1'!$A$5:$E$1048576,3,0),0)</f>
        <v/>
      </c>
      <c r="S72" s="86">
        <f>+IFERROR(VLOOKUP($A72,'[17]1'!$A$5:$E$1048576,3,0),0)</f>
        <v/>
      </c>
      <c r="T72" s="86">
        <f>+IFERROR(VLOOKUP($A72,'[18]1'!$A$5:$E$1048576,3,0),0)</f>
        <v/>
      </c>
      <c r="U72" s="86">
        <f>+IFERROR(VLOOKUP($A72,[19]Balans!$A$5:$E$1048576,3,0),0)</f>
        <v/>
      </c>
      <c r="V72" s="86">
        <f>+IFERROR(VLOOKUP($A72,'[20]1'!$A$5:$E$1048576,3,0),0)</f>
        <v/>
      </c>
      <c r="W72" s="86">
        <f>+IFERROR(VLOOKUP($A72,[21]Balance!$A$5:$E$1048576,3,0),0)</f>
        <v/>
      </c>
      <c r="X72" s="86">
        <f>+IFERROR(VLOOKUP($A72,'[22]1'!$A$5:$E$1048576,3,0),0)</f>
        <v/>
      </c>
      <c r="Y72" s="86">
        <f>+IFERROR(VLOOKUP($A72,[23]Лист1!$A$5:$E$1048576,3,0),0)</f>
        <v/>
      </c>
      <c r="Z72" s="86">
        <f>+IFERROR(VLOOKUP($A72,'[24]1'!$A$5:$E$1048576,3,0),0)</f>
        <v/>
      </c>
      <c r="AA72" s="86">
        <f>+IFERROR(VLOOKUP($A72,[25]Balance!$A$5:$E$1048576,3,0),0)</f>
        <v/>
      </c>
      <c r="AB72" s="86">
        <f>+IFERROR(VLOOKUP($A72,'[26]1'!$A$5:$E$1048576,3,0),0)</f>
        <v/>
      </c>
      <c r="AC72" s="86">
        <f>+IFERROR(VLOOKUP($A72,'[27]1'!$A$5:$E$1048576,3,0),0)</f>
        <v/>
      </c>
      <c r="AD72" s="86">
        <f>+IFERROR(VLOOKUP($A72,'[28]1'!$A$5:$E$1048576,3,0),0)</f>
        <v/>
      </c>
      <c r="AE72" s="86">
        <f>+IFERROR(VLOOKUP($A72,[29]Лист1!$A$5:$E$1048576,3,0),0)</f>
        <v/>
      </c>
      <c r="AF72" s="86">
        <f>+IFERROR(VLOOKUP($A72,'[30]1'!$A$5:$E$1048576,3,0),0)</f>
        <v/>
      </c>
      <c r="AG72" s="86">
        <f>+IFERROR(VLOOKUP($A72,'[31]1'!$A$5:$E$1048576,3,0),0)</f>
        <v/>
      </c>
      <c r="AH72" s="86">
        <f>+IFERROR(VLOOKUP($A72,'[32]1-жадвал'!$A$5:$E$1048576,3,0),0)</f>
        <v/>
      </c>
      <c r="AI72" s="248">
        <f>+IFERROR(VLOOKUP($A72,[33]Balance!$A$5:$E$1048576,3,0),0)</f>
        <v/>
      </c>
      <c r="AJ72" s="100">
        <f>+IFERROR(VLOOKUP($A72,[34]Balance!$A$5:$E$1048576,3,0),0)</f>
        <v/>
      </c>
      <c r="AK72" s="100">
        <f>+IFERROR(VLOOKUP($A72,'[35]1'!$A$5:$E$1048576,3,0),0)</f>
        <v/>
      </c>
    </row>
    <row r="73">
      <c r="A73" s="183" t="inlineStr">
        <is>
          <t>32.3</t>
        </is>
      </c>
      <c r="B73" s="97" t="inlineStr">
        <is>
          <t>Бошқа захира фондлари</t>
        </is>
      </c>
      <c r="C73" s="86">
        <f>+IFERROR(VLOOKUP($A73,[1]Лист1!$A$5:$E$1048576,3,0),0)</f>
        <v/>
      </c>
      <c r="D73" s="86">
        <f>+IFERROR(VLOOKUP($A73,'[2]1'!$A$5:$E$1048576,3,0),0)</f>
        <v/>
      </c>
      <c r="E73" s="86">
        <f>+IFERROR(VLOOKUP($A73,'[3]1'!$A$5:$E$1048576,3,0),0)</f>
        <v/>
      </c>
      <c r="F73" s="86">
        <f>+IFERROR(VLOOKUP($A73,[4]Balance!$A$5:$E$1048576,3,0),0)</f>
        <v/>
      </c>
      <c r="G73" s="86">
        <f>+IFERROR(VLOOKUP($A73,'[5]1'!$A$5:$E$1048576,3,0),0)</f>
        <v/>
      </c>
      <c r="H73" s="86">
        <f>+IFERROR(VLOOKUP($A73,[6]Balance!$A$5:$E$1048576,3,0),0)</f>
        <v/>
      </c>
      <c r="I73" s="86">
        <f>+IFERROR(VLOOKUP($A73,[7]Balance!$A$5:$E$1048576,3,0),0)</f>
        <v/>
      </c>
      <c r="J73" s="86">
        <f>+IFERROR(VLOOKUP($A73,'[8]1'!$A$5:$E$1048576,3,0),0)</f>
        <v/>
      </c>
      <c r="K73" s="86">
        <f>+IFERROR(VLOOKUP($A73,'[9]1'!$A$5:$E$1048576,3,0),0)</f>
        <v/>
      </c>
      <c r="L73" s="86">
        <f>+IFERROR(VLOOKUP($A73,'[10]1'!$A$5:$E$1048576,3,0),0)</f>
        <v/>
      </c>
      <c r="M73" s="86">
        <f>+IFERROR(VLOOKUP($A73,'[11]1'!$A$5:$E$1048576,3,0),0)</f>
        <v/>
      </c>
      <c r="N73" s="86">
        <f>+IFERROR(VLOOKUP($A73,[12]Balance!$A$5:$E$1048576,3,0),0)</f>
        <v/>
      </c>
      <c r="O73" s="86">
        <f>+IFERROR(VLOOKUP($A73,'[13]1 т'!$A$5:$E$1048576,3,0),0)</f>
        <v/>
      </c>
      <c r="P73" s="86">
        <f>+IFERROR(VLOOKUP($A73,[14]Balance!$A$5:$E$1048576,3,0),0)</f>
        <v/>
      </c>
      <c r="Q73" s="86">
        <f>+IFERROR(VLOOKUP($A73,[15]Balance!$A$5:$E$1048576,3,0),0)</f>
        <v/>
      </c>
      <c r="R73" s="86">
        <f>+IFERROR(VLOOKUP($A73,'[16]1'!$A$5:$E$1048576,3,0),0)</f>
        <v/>
      </c>
      <c r="S73" s="86">
        <f>+IFERROR(VLOOKUP($A73,'[17]1'!$A$5:$E$1048576,3,0),0)</f>
        <v/>
      </c>
      <c r="T73" s="86">
        <f>+IFERROR(VLOOKUP($A73,'[18]1'!$A$5:$E$1048576,3,0),0)</f>
        <v/>
      </c>
      <c r="U73" s="86">
        <f>+IFERROR(VLOOKUP($A73,[19]Balans!$A$5:$E$1048576,3,0),0)</f>
        <v/>
      </c>
      <c r="V73" s="86">
        <f>+IFERROR(VLOOKUP($A73,'[20]1'!$A$5:$E$1048576,3,0),0)</f>
        <v/>
      </c>
      <c r="W73" s="86">
        <f>+IFERROR(VLOOKUP($A73,[21]Balance!$A$5:$E$1048576,3,0),0)</f>
        <v/>
      </c>
      <c r="X73" s="86">
        <f>+IFERROR(VLOOKUP($A73,'[22]1'!$A$5:$E$1048576,3,0),0)</f>
        <v/>
      </c>
      <c r="Y73" s="86">
        <f>+IFERROR(VLOOKUP($A73,[23]Лист1!$A$5:$E$1048576,3,0),0)</f>
        <v/>
      </c>
      <c r="Z73" s="86">
        <f>+IFERROR(VLOOKUP($A73,'[24]1'!$A$5:$E$1048576,3,0),0)</f>
        <v/>
      </c>
      <c r="AA73" s="86">
        <f>+IFERROR(VLOOKUP($A73,[25]Balance!$A$5:$E$1048576,3,0),0)</f>
        <v/>
      </c>
      <c r="AB73" s="86">
        <f>+IFERROR(VLOOKUP($A73,'[26]1'!$A$5:$E$1048576,3,0),0)</f>
        <v/>
      </c>
      <c r="AC73" s="86">
        <f>+IFERROR(VLOOKUP($A73,'[27]1'!$A$5:$E$1048576,3,0),0)</f>
        <v/>
      </c>
      <c r="AD73" s="86">
        <f>+IFERROR(VLOOKUP($A73,'[28]1'!$A$5:$E$1048576,3,0),0)</f>
        <v/>
      </c>
      <c r="AE73" s="86">
        <f>+IFERROR(VLOOKUP($A73,[29]Лист1!$A$5:$E$1048576,3,0),0)</f>
        <v/>
      </c>
      <c r="AF73" s="86">
        <f>+IFERROR(VLOOKUP($A73,'[30]1'!$A$5:$E$1048576,3,0),0)</f>
        <v/>
      </c>
      <c r="AG73" s="86">
        <f>+IFERROR(VLOOKUP($A73,'[31]1'!$A$5:$E$1048576,3,0),0)</f>
        <v/>
      </c>
      <c r="AH73" s="86">
        <f>+IFERROR(VLOOKUP($A73,'[32]1-жадвал'!$A$5:$E$1048576,3,0),0)</f>
        <v/>
      </c>
      <c r="AI73" s="248">
        <f>+IFERROR(VLOOKUP($A73,[33]Balance!$A$5:$E$1048576,3,0),0)</f>
        <v/>
      </c>
      <c r="AJ73" s="100">
        <f>+IFERROR(VLOOKUP($A73,[34]Balance!$A$5:$E$1048576,3,0),0)</f>
        <v/>
      </c>
      <c r="AK73" s="100">
        <f>+IFERROR(VLOOKUP($A73,'[35]1'!$A$5:$E$1048576,3,0),0)</f>
        <v/>
      </c>
    </row>
    <row r="74">
      <c r="A74" s="183" t="inlineStr">
        <is>
          <t>33</t>
        </is>
      </c>
      <c r="B74" s="97" t="inlineStr">
        <is>
          <t>Тақсимланмаган фойда</t>
        </is>
      </c>
      <c r="C74" s="86">
        <f>+IFERROR(VLOOKUP($A74,[1]Лист1!$A$5:$E$1048576,3,0),0)</f>
        <v/>
      </c>
      <c r="D74" s="86">
        <f>+IFERROR(VLOOKUP($A74,'[2]1'!$A$5:$E$1048576,3,0),0)</f>
        <v/>
      </c>
      <c r="E74" s="86">
        <f>+IFERROR(VLOOKUP($A74,'[3]1'!$A$5:$E$1048576,3,0),0)</f>
        <v/>
      </c>
      <c r="F74" s="86">
        <f>+IFERROR(VLOOKUP($A74,[4]Balance!$A$5:$E$1048576,3,0),0)</f>
        <v/>
      </c>
      <c r="G74" s="86">
        <f>+IFERROR(VLOOKUP($A74,'[5]1'!$A$5:$E$1048576,3,0),0)</f>
        <v/>
      </c>
      <c r="H74" s="86">
        <f>+IFERROR(VLOOKUP($A74,[6]Balance!$A$5:$E$1048576,3,0),0)</f>
        <v/>
      </c>
      <c r="I74" s="86">
        <f>+IFERROR(VLOOKUP($A74,[7]Balance!$A$5:$E$1048576,3,0),0)</f>
        <v/>
      </c>
      <c r="J74" s="86">
        <f>+IFERROR(VLOOKUP($A74,'[8]1'!$A$5:$E$1048576,3,0),0)</f>
        <v/>
      </c>
      <c r="K74" s="86">
        <f>+IFERROR(VLOOKUP($A74,'[9]1'!$A$5:$E$1048576,3,0),0)</f>
        <v/>
      </c>
      <c r="L74" s="86">
        <f>+IFERROR(VLOOKUP($A74,'[10]1'!$A$5:$E$1048576,3,0),0)</f>
        <v/>
      </c>
      <c r="M74" s="86">
        <f>+IFERROR(VLOOKUP($A74,'[11]1'!$A$5:$E$1048576,3,0),0)</f>
        <v/>
      </c>
      <c r="N74" s="86">
        <f>+IFERROR(VLOOKUP($A74,[12]Balance!$A$5:$E$1048576,3,0),0)</f>
        <v/>
      </c>
      <c r="O74" s="86">
        <f>+IFERROR(VLOOKUP($A74,'[13]1 т'!$A$5:$E$1048576,3,0),0)</f>
        <v/>
      </c>
      <c r="P74" s="86">
        <f>+IFERROR(VLOOKUP($A74,[14]Balance!$A$5:$E$1048576,3,0),0)</f>
        <v/>
      </c>
      <c r="Q74" s="86">
        <f>+IFERROR(VLOOKUP($A74,[15]Balance!$A$5:$E$1048576,3,0),0)</f>
        <v/>
      </c>
      <c r="R74" s="86">
        <f>+IFERROR(VLOOKUP($A74,'[16]1'!$A$5:$E$1048576,3,0),0)</f>
        <v/>
      </c>
      <c r="S74" s="86">
        <f>+IFERROR(VLOOKUP($A74,'[17]1'!$A$5:$E$1048576,3,0),0)</f>
        <v/>
      </c>
      <c r="T74" s="86">
        <f>+IFERROR(VLOOKUP($A74,'[18]1'!$A$5:$E$1048576,3,0),0)</f>
        <v/>
      </c>
      <c r="U74" s="86">
        <f>+IFERROR(VLOOKUP($A74,[19]Balans!$A$5:$E$1048576,3,0),0)</f>
        <v/>
      </c>
      <c r="V74" s="86">
        <f>+IFERROR(VLOOKUP($A74,'[20]1'!$A$5:$E$1048576,3,0),0)</f>
        <v/>
      </c>
      <c r="W74" s="86">
        <f>+IFERROR(VLOOKUP($A74,[21]Balance!$A$5:$E$1048576,3,0),0)</f>
        <v/>
      </c>
      <c r="X74" s="86">
        <f>+IFERROR(VLOOKUP($A74,'[22]1'!$A$5:$E$1048576,3,0),0)</f>
        <v/>
      </c>
      <c r="Y74" s="86">
        <f>+IFERROR(VLOOKUP($A74,[23]Лист1!$A$5:$E$1048576,3,0),0)</f>
        <v/>
      </c>
      <c r="Z74" s="86">
        <f>+IFERROR(VLOOKUP($A74,'[24]1'!$A$5:$E$1048576,3,0),0)</f>
        <v/>
      </c>
      <c r="AA74" s="86">
        <f>+IFERROR(VLOOKUP($A74,[25]Balance!$A$5:$E$1048576,3,0),0)</f>
        <v/>
      </c>
      <c r="AB74" s="86">
        <f>+IFERROR(VLOOKUP($A74,'[26]1'!$A$5:$E$1048576,3,0),0)</f>
        <v/>
      </c>
      <c r="AC74" s="86">
        <f>+IFERROR(VLOOKUP($A74,'[27]1'!$A$5:$E$1048576,3,0),0)</f>
        <v/>
      </c>
      <c r="AD74" s="86">
        <f>+IFERROR(VLOOKUP($A74,'[28]1'!$A$5:$E$1048576,3,0),0)</f>
        <v/>
      </c>
      <c r="AE74" s="86">
        <f>+IFERROR(VLOOKUP($A74,[29]Лист1!$A$5:$E$1048576,3,0),0)</f>
        <v/>
      </c>
      <c r="AF74" s="86">
        <f>+IFERROR(VLOOKUP($A74,'[30]1'!$A$5:$E$1048576,3,0),0)</f>
        <v/>
      </c>
      <c r="AG74" s="86">
        <f>+IFERROR(VLOOKUP($A74,'[31]1'!$A$5:$E$1048576,3,0),0)</f>
        <v/>
      </c>
      <c r="AH74" s="86">
        <f>+IFERROR(VLOOKUP($A74,'[32]1-жадвал'!$A$5:$E$1048576,3,0),0)</f>
        <v/>
      </c>
      <c r="AI74" s="248">
        <f>+IFERROR(VLOOKUP($A74,[33]Balance!$A$5:$E$1048576,3,0),0)</f>
        <v/>
      </c>
      <c r="AJ74" s="100">
        <f>+IFERROR(VLOOKUP($A74,[34]Balance!$A$5:$E$1048576,3,0),0)</f>
        <v/>
      </c>
      <c r="AK74" s="100">
        <f>+IFERROR(VLOOKUP($A74,'[35]1'!$A$5:$E$1048576,3,0),0)</f>
        <v/>
      </c>
      <c r="AM74" s="188" t="n"/>
      <c r="AN74" s="188" t="n"/>
    </row>
    <row r="75">
      <c r="A75" s="183" t="inlineStr">
        <is>
          <t>33.1</t>
        </is>
      </c>
      <c r="B75" s="97" t="inlineStr">
        <is>
          <t>шундан, жорий йил соф фойдаси (зарари)</t>
        </is>
      </c>
      <c r="C75" s="86">
        <f>+IFERROR(VLOOKUP($A75,[1]Лист1!$A$5:$E$1048576,3,0),0)</f>
        <v/>
      </c>
      <c r="D75" s="86">
        <f>+IFERROR(VLOOKUP($A75,'[2]1'!$A$5:$E$1048576,3,0),0)</f>
        <v/>
      </c>
      <c r="E75" s="86">
        <f>+IFERROR(VLOOKUP($A75,'[3]1'!$A$5:$E$1048576,3,0),0)</f>
        <v/>
      </c>
      <c r="F75" s="86">
        <f>+IFERROR(VLOOKUP($A75,[4]Balance!$A$5:$E$1048576,3,0),0)</f>
        <v/>
      </c>
      <c r="G75" s="86">
        <f>+IFERROR(VLOOKUP($A75,'[5]1'!$A$5:$E$1048576,3,0),0)</f>
        <v/>
      </c>
      <c r="H75" s="86">
        <f>+IFERROR(VLOOKUP($A75,[6]Balance!$A$5:$E$1048576,3,0),0)</f>
        <v/>
      </c>
      <c r="I75" s="86">
        <f>+IFERROR(VLOOKUP($A75,[7]Balance!$A$5:$E$1048576,3,0),0)</f>
        <v/>
      </c>
      <c r="J75" s="86">
        <f>+IFERROR(VLOOKUP($A75,'[8]1'!$A$5:$E$1048576,3,0),0)</f>
        <v/>
      </c>
      <c r="K75" s="86">
        <f>+IFERROR(VLOOKUP($A75,'[9]1'!$A$5:$E$1048576,3,0),0)</f>
        <v/>
      </c>
      <c r="L75" s="86">
        <f>+IFERROR(VLOOKUP($A75,'[10]1'!$A$5:$E$1048576,3,0),0)</f>
        <v/>
      </c>
      <c r="M75" s="86">
        <f>+IFERROR(VLOOKUP($A75,'[11]1'!$A$5:$E$1048576,3,0),0)</f>
        <v/>
      </c>
      <c r="N75" s="86">
        <f>+IFERROR(VLOOKUP($A75,[12]Balance!$A$5:$E$1048576,3,0),0)</f>
        <v/>
      </c>
      <c r="O75" s="86">
        <f>+IFERROR(VLOOKUP($A75,'[13]1 т'!$A$5:$E$1048576,3,0),0)</f>
        <v/>
      </c>
      <c r="P75" s="86">
        <f>+IFERROR(VLOOKUP($A75,[14]Balance!$A$5:$E$1048576,3,0),0)</f>
        <v/>
      </c>
      <c r="Q75" s="86">
        <f>+IFERROR(VLOOKUP($A75,[15]Balance!$A$5:$E$1048576,3,0),0)</f>
        <v/>
      </c>
      <c r="R75" s="86">
        <f>+IFERROR(VLOOKUP($A75,'[16]1'!$A$5:$E$1048576,3,0),0)</f>
        <v/>
      </c>
      <c r="S75" s="86">
        <f>+IFERROR(VLOOKUP($A75,'[17]1'!$A$5:$E$1048576,3,0),0)</f>
        <v/>
      </c>
      <c r="T75" s="86">
        <f>+IFERROR(VLOOKUP($A75,'[18]1'!$A$5:$E$1048576,3,0),0)</f>
        <v/>
      </c>
      <c r="U75" s="86">
        <f>+IFERROR(VLOOKUP($A75,[19]Balans!$A$5:$E$1048576,3,0),0)</f>
        <v/>
      </c>
      <c r="V75" s="86">
        <f>+IFERROR(VLOOKUP($A75,'[20]1'!$A$5:$E$1048576,3,0),0)</f>
        <v/>
      </c>
      <c r="W75" s="86">
        <f>+IFERROR(VLOOKUP($A75,[21]Balance!$A$5:$E$1048576,3,0),0)</f>
        <v/>
      </c>
      <c r="X75" s="86">
        <f>+IFERROR(VLOOKUP($A75,'[22]1'!$A$5:$E$1048576,3,0),0)</f>
        <v/>
      </c>
      <c r="Y75" s="86">
        <f>+IFERROR(VLOOKUP($A75,[23]Лист1!$A$5:$E$1048576,3,0),0)</f>
        <v/>
      </c>
      <c r="Z75" s="86">
        <f>+IFERROR(VLOOKUP($A75,'[24]1'!$A$5:$E$1048576,3,0),0)</f>
        <v/>
      </c>
      <c r="AA75" s="86">
        <f>+IFERROR(VLOOKUP($A75,[25]Balance!$A$5:$E$1048576,3,0),0)</f>
        <v/>
      </c>
      <c r="AB75" s="86">
        <f>+IFERROR(VLOOKUP($A75,'[26]1'!$A$5:$E$1048576,3,0),0)</f>
        <v/>
      </c>
      <c r="AC75" s="86">
        <f>+IFERROR(VLOOKUP($A75,'[27]1'!$A$5:$E$1048576,3,0),0)</f>
        <v/>
      </c>
      <c r="AD75" s="86">
        <f>+IFERROR(VLOOKUP($A75,'[28]1'!$A$5:$E$1048576,3,0),0)</f>
        <v/>
      </c>
      <c r="AE75" s="86">
        <f>+IFERROR(VLOOKUP($A75,[29]Лист1!$A$5:$E$1048576,3,0),0)</f>
        <v/>
      </c>
      <c r="AF75" s="86">
        <f>+IFERROR(VLOOKUP($A75,'[30]1'!$A$5:$E$1048576,3,0),0)</f>
        <v/>
      </c>
      <c r="AG75" s="86">
        <f>+IFERROR(VLOOKUP($A75,'[31]1'!$A$5:$E$1048576,3,0),0)</f>
        <v/>
      </c>
      <c r="AH75" s="86">
        <f>+IFERROR(VLOOKUP($A75,'[32]1-жадвал'!$A$5:$E$1048576,3,0),0)</f>
        <v/>
      </c>
      <c r="AI75" s="248">
        <f>+IFERROR(VLOOKUP($A75,[33]Balance!$A$5:$E$1048576,3,0),0)</f>
        <v/>
      </c>
      <c r="AJ75" s="100">
        <f>+IFERROR(VLOOKUP($A75,[34]Balance!$A$5:$E$1048576,3,0),0)</f>
        <v/>
      </c>
      <c r="AK75" s="100">
        <f>+IFERROR(VLOOKUP($A75,'[35]1'!$A$5:$E$1048576,3,0),0)</f>
        <v/>
      </c>
    </row>
    <row r="76">
      <c r="A76" s="183" t="inlineStr">
        <is>
          <t>34</t>
        </is>
      </c>
      <c r="B76" s="97" t="inlineStr">
        <is>
          <t>Жами хусусий капитал</t>
        </is>
      </c>
      <c r="C76" s="86">
        <f>+IFERROR(VLOOKUP($A76,[1]Лист1!$A$5:$E$1048576,3,0),0)</f>
        <v/>
      </c>
      <c r="D76" s="86">
        <f>+IFERROR(VLOOKUP($A76,'[2]1'!$A$5:$E$1048576,3,0),0)</f>
        <v/>
      </c>
      <c r="E76" s="86">
        <f>+IFERROR(VLOOKUP($A76,'[3]1'!$A$5:$E$1048576,3,0),0)</f>
        <v/>
      </c>
      <c r="F76" s="86">
        <f>+IFERROR(VLOOKUP($A76,[4]Balance!$A$5:$E$1048576,3,0),0)</f>
        <v/>
      </c>
      <c r="G76" s="86">
        <f>+IFERROR(VLOOKUP($A76,'[5]1'!$A$5:$E$1048576,3,0),0)</f>
        <v/>
      </c>
      <c r="H76" s="86">
        <f>+IFERROR(VLOOKUP($A76,[6]Balance!$A$5:$E$1048576,3,0),0)</f>
        <v/>
      </c>
      <c r="I76" s="86">
        <f>+IFERROR(VLOOKUP($A76,[7]Balance!$A$5:$E$1048576,3,0),0)</f>
        <v/>
      </c>
      <c r="J76" s="86">
        <f>+IFERROR(VLOOKUP($A76,'[8]1'!$A$5:$E$1048576,3,0),0)</f>
        <v/>
      </c>
      <c r="K76" s="86">
        <f>+IFERROR(VLOOKUP($A76,'[9]1'!$A$5:$E$1048576,3,0),0)</f>
        <v/>
      </c>
      <c r="L76" s="86">
        <f>+IFERROR(VLOOKUP($A76,'[10]1'!$A$5:$E$1048576,3,0),0)</f>
        <v/>
      </c>
      <c r="M76" s="86">
        <f>+IFERROR(VLOOKUP($A76,'[11]1'!$A$5:$E$1048576,3,0),0)</f>
        <v/>
      </c>
      <c r="N76" s="86">
        <f>+IFERROR(VLOOKUP($A76,[12]Balance!$A$5:$E$1048576,3,0),0)</f>
        <v/>
      </c>
      <c r="O76" s="86">
        <f>+IFERROR(VLOOKUP($A76,'[13]1 т'!$A$5:$E$1048576,3,0),0)</f>
        <v/>
      </c>
      <c r="P76" s="86">
        <f>+IFERROR(VLOOKUP($A76,[14]Balance!$A$5:$E$1048576,3,0),0)</f>
        <v/>
      </c>
      <c r="Q76" s="86">
        <f>+IFERROR(VLOOKUP($A76,[15]Balance!$A$5:$E$1048576,3,0),0)</f>
        <v/>
      </c>
      <c r="R76" s="86">
        <f>+IFERROR(VLOOKUP($A76,'[16]1'!$A$5:$E$1048576,3,0),0)</f>
        <v/>
      </c>
      <c r="S76" s="86">
        <f>+IFERROR(VLOOKUP($A76,'[17]1'!$A$5:$E$1048576,3,0),0)</f>
        <v/>
      </c>
      <c r="T76" s="86">
        <f>+IFERROR(VLOOKUP($A76,'[18]1'!$A$5:$E$1048576,3,0),0)</f>
        <v/>
      </c>
      <c r="U76" s="86">
        <f>+IFERROR(VLOOKUP($A76,[19]Balans!$A$5:$E$1048576,3,0),0)</f>
        <v/>
      </c>
      <c r="V76" s="86">
        <f>+IFERROR(VLOOKUP($A76,'[20]1'!$A$5:$E$1048576,3,0),0)</f>
        <v/>
      </c>
      <c r="W76" s="86">
        <f>+IFERROR(VLOOKUP($A76,[21]Balance!$A$5:$E$1048576,3,0),0)</f>
        <v/>
      </c>
      <c r="X76" s="86">
        <f>+IFERROR(VLOOKUP($A76,'[22]1'!$A$5:$E$1048576,3,0),0)</f>
        <v/>
      </c>
      <c r="Y76" s="86">
        <f>+IFERROR(VLOOKUP($A76,[23]Лист1!$A$5:$E$1048576,3,0),0)</f>
        <v/>
      </c>
      <c r="Z76" s="86">
        <f>+IFERROR(VLOOKUP($A76,'[24]1'!$A$5:$E$1048576,3,0),0)</f>
        <v/>
      </c>
      <c r="AA76" s="86">
        <f>+IFERROR(VLOOKUP($A76,[25]Balance!$A$5:$E$1048576,3,0),0)</f>
        <v/>
      </c>
      <c r="AB76" s="86">
        <f>+IFERROR(VLOOKUP($A76,'[26]1'!$A$5:$E$1048576,3,0),0)</f>
        <v/>
      </c>
      <c r="AC76" s="86">
        <f>+IFERROR(VLOOKUP($A76,'[27]1'!$A$5:$E$1048576,3,0),0)</f>
        <v/>
      </c>
      <c r="AD76" s="86">
        <f>+IFERROR(VLOOKUP($A76,'[28]1'!$A$5:$E$1048576,3,0),0)</f>
        <v/>
      </c>
      <c r="AE76" s="86">
        <f>+IFERROR(VLOOKUP($A76,[29]Лист1!$A$5:$E$1048576,3,0),0)</f>
        <v/>
      </c>
      <c r="AF76" s="86">
        <f>+IFERROR(VLOOKUP($A76,'[30]1'!$A$5:$E$1048576,3,0),0)</f>
        <v/>
      </c>
      <c r="AG76" s="86">
        <f>+IFERROR(VLOOKUP($A76,'[31]1'!$A$5:$E$1048576,3,0),0)</f>
        <v/>
      </c>
      <c r="AH76" s="86">
        <f>+IFERROR(VLOOKUP($A76,'[32]1-жадвал'!$A$5:$E$1048576,3,0),0)</f>
        <v/>
      </c>
      <c r="AI76" s="248">
        <f>+IFERROR(VLOOKUP($A76,[33]Balance!$A$5:$E$1048576,3,0),0)</f>
        <v/>
      </c>
      <c r="AJ76" s="100">
        <f>+IFERROR(VLOOKUP($A76,[34]Balance!$A$5:$E$1048576,3,0),0)</f>
        <v/>
      </c>
      <c r="AK76" s="100">
        <f>+IFERROR(VLOOKUP($A76,'[35]1'!$A$5:$E$1048576,3,0),0)</f>
        <v/>
      </c>
      <c r="AL76" s="188" t="n"/>
      <c r="AM76" s="188" t="n"/>
      <c r="AO76" s="188" t="n"/>
    </row>
    <row r="77">
      <c r="A77" s="98" t="inlineStr">
        <is>
          <t>35</t>
        </is>
      </c>
      <c r="B77" s="99" t="inlineStr">
        <is>
          <t>Жами мажбуриятлар ва хусусий капитал</t>
        </is>
      </c>
      <c r="C77" s="100">
        <f>+IFERROR(VLOOKUP($A77,[1]Лист1!$A$5:$E$1048576,3,0),0)</f>
        <v/>
      </c>
      <c r="D77" s="86">
        <f>+IFERROR(VLOOKUP($A77,'[2]1'!$A$5:$E$1048576,3,0),0)</f>
        <v/>
      </c>
      <c r="E77" s="86">
        <f>+IFERROR(VLOOKUP($A77,'[3]1'!$A$5:$E$1048576,3,0),0)</f>
        <v/>
      </c>
      <c r="F77" s="86">
        <f>+IFERROR(VLOOKUP($A77,[4]Balance!$A$5:$E$1048576,3,0),0)</f>
        <v/>
      </c>
      <c r="G77" s="86">
        <f>+IFERROR(VLOOKUP($A77,'[5]1'!$A$5:$E$1048576,3,0),0)</f>
        <v/>
      </c>
      <c r="H77" s="86">
        <f>+IFERROR(VLOOKUP($A77,[6]Balance!$A$5:$E$1048576,3,0),0)</f>
        <v/>
      </c>
      <c r="I77" s="86">
        <f>+IFERROR(VLOOKUP($A77,[7]Balance!$A$5:$E$1048576,3,0),0)</f>
        <v/>
      </c>
      <c r="J77" s="86">
        <f>+IFERROR(VLOOKUP($A77,'[8]1'!$A$5:$E$1048576,3,0),0)</f>
        <v/>
      </c>
      <c r="K77" s="100">
        <f>+IFERROR(VLOOKUP($A77,'[9]1'!$A$5:$E$1048576,3,0),0)</f>
        <v/>
      </c>
      <c r="L77" s="100">
        <f>+IFERROR(VLOOKUP($A77,'[10]1'!$A$5:$E$1048576,3,0),0)</f>
        <v/>
      </c>
      <c r="M77" s="100">
        <f>+IFERROR(VLOOKUP($A77,'[11]1'!$A$5:$E$1048576,3,0),0)</f>
        <v/>
      </c>
      <c r="N77" s="86">
        <f>+IFERROR(VLOOKUP($A77,[12]Balance!$A$5:$E$1048576,3,0),0)</f>
        <v/>
      </c>
      <c r="O77" s="86">
        <f>+IFERROR(VLOOKUP($A77,'[13]1 т'!$A$5:$E$1048576,3,0),0)</f>
        <v/>
      </c>
      <c r="P77" s="86">
        <f>+IFERROR(VLOOKUP($A77,[14]Balance!$A$5:$E$1048576,3,0),0)</f>
        <v/>
      </c>
      <c r="Q77" s="86">
        <f>+IFERROR(VLOOKUP($A77,[15]Balance!$A$5:$E$1048576,3,0),0)</f>
        <v/>
      </c>
      <c r="R77" s="86">
        <f>+IFERROR(VLOOKUP($A77,'[16]1'!$A$5:$E$1048576,3,0),0)</f>
        <v/>
      </c>
      <c r="S77" s="86">
        <f>+IFERROR(VLOOKUP($A77,'[17]1'!$A$5:$E$1048576,3,0),0)</f>
        <v/>
      </c>
      <c r="T77" s="86">
        <f>+IFERROR(VLOOKUP($A77,'[18]1'!$A$5:$E$1048576,3,0),0)</f>
        <v/>
      </c>
      <c r="U77" s="86">
        <f>+IFERROR(VLOOKUP($A77,[19]Balans!$A$5:$E$1048576,3,0),0)</f>
        <v/>
      </c>
      <c r="V77" s="86">
        <f>+IFERROR(VLOOKUP($A77,'[20]1'!$A$5:$E$1048576,3,0),0)</f>
        <v/>
      </c>
      <c r="W77" s="86">
        <f>+IFERROR(VLOOKUP($A77,[21]Balance!$A$5:$E$1048576,3,0),0)</f>
        <v/>
      </c>
      <c r="X77" s="100">
        <f>+IFERROR(VLOOKUP($A77,'[22]1'!$A$5:$E$1048576,3,0),0)</f>
        <v/>
      </c>
      <c r="Y77" s="86">
        <f>+IFERROR(VLOOKUP($A77,[23]Лист1!$A$5:$E$1048576,3,0),0)</f>
        <v/>
      </c>
      <c r="Z77" s="86">
        <f>+IFERROR(VLOOKUP($A77,'[24]1'!$A$5:$E$1048576,3,0),0)</f>
        <v/>
      </c>
      <c r="AA77" s="86">
        <f>+IFERROR(VLOOKUP($A77,[25]Balance!$A$5:$E$1048576,3,0),0)</f>
        <v/>
      </c>
      <c r="AB77" s="100">
        <f>+IFERROR(VLOOKUP($A77,'[26]1'!$A$5:$E$1048576,3,0),0)</f>
        <v/>
      </c>
      <c r="AC77" s="100">
        <f>+IFERROR(VLOOKUP($A77,'[27]1'!$A$5:$E$1048576,3,0),0)</f>
        <v/>
      </c>
      <c r="AD77" s="86">
        <f>+IFERROR(VLOOKUP($A77,'[28]1'!$A$5:$E$1048576,3,0),0)</f>
        <v/>
      </c>
      <c r="AE77" s="86">
        <f>+IFERROR(VLOOKUP($A77,[29]Лист1!$A$5:$E$1048576,3,0),0)</f>
        <v/>
      </c>
      <c r="AF77" s="86">
        <f>+IFERROR(VLOOKUP($A77,'[30]1'!$A$5:$E$1048576,3,0),0)</f>
        <v/>
      </c>
      <c r="AG77" s="100">
        <f>+IFERROR(VLOOKUP($A77,'[31]1'!$A$5:$E$1048576,3,0),0)</f>
        <v/>
      </c>
      <c r="AH77" s="86">
        <f>+IFERROR(VLOOKUP($A77,'[32]1-жадвал'!$A$5:$E$1048576,3,0),0)</f>
        <v/>
      </c>
      <c r="AI77" s="248">
        <f>+IFERROR(VLOOKUP($A77,[33]Balance!$A$5:$E$1048576,3,0),0)</f>
        <v/>
      </c>
      <c r="AJ77" s="100">
        <f>+IFERROR(VLOOKUP($A77,[34]Balance!$A$5:$E$1048576,3,0),0)</f>
        <v/>
      </c>
      <c r="AK77" s="100">
        <f>+IFERROR(VLOOKUP($A77,'[35]1'!$A$5:$E$1048576,3,0),0)</f>
        <v/>
      </c>
      <c r="AM77" s="188" t="n"/>
      <c r="AO77" s="188" t="n"/>
    </row>
    <row r="78" customFormat="1" s="210">
      <c r="A78" s="101" t="n"/>
      <c r="B78" s="102" t="n"/>
      <c r="C78" s="103" t="n"/>
      <c r="D78" s="187" t="n"/>
      <c r="E78" s="187" t="n"/>
      <c r="F78" s="187" t="n"/>
      <c r="G78" s="187" t="n"/>
      <c r="H78" s="187" t="n"/>
      <c r="I78" s="187" t="n"/>
      <c r="J78" s="187" t="n"/>
      <c r="K78" s="187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  <c r="AA78" s="187" t="n"/>
      <c r="AB78" s="187" t="n"/>
      <c r="AC78" s="187" t="n"/>
      <c r="AD78" s="187" t="n"/>
      <c r="AE78" s="187" t="n"/>
      <c r="AF78" s="187" t="n"/>
      <c r="AG78" s="187" t="n"/>
      <c r="AH78" s="187" t="n"/>
      <c r="AI78" s="187" t="n"/>
      <c r="AJ78" s="255" t="n"/>
      <c r="AK78" s="255" t="n"/>
      <c r="AL78" s="188" t="n"/>
      <c r="AY78" s="168" t="n"/>
    </row>
    <row r="79" ht="28.5" customHeight="1">
      <c r="A79" s="237" t="n"/>
      <c r="B79" s="104" t="inlineStr">
        <is>
          <t>Банкнинг Марказий банкдаги маблағлари (мажбурий захирасиз)</t>
        </is>
      </c>
      <c r="C79" s="105">
        <f>+[1]Лист3!$C$7</f>
        <v/>
      </c>
      <c r="D79" s="105">
        <f>+'[2]17'!$C$7</f>
        <v/>
      </c>
      <c r="E79" s="105">
        <f>+'[3]3'!$C$7</f>
        <v/>
      </c>
      <c r="F79" s="105">
        <f>+'[4]Bank Assets Analysis'!$C$7</f>
        <v/>
      </c>
      <c r="G79" s="105">
        <f>+'[5]17'!$C$7</f>
        <v/>
      </c>
      <c r="H79" s="105">
        <f>+'[6]Bank Assets Analysis'!$C$7</f>
        <v/>
      </c>
      <c r="I79" s="105">
        <f>+'[7]Bank Assets Analysis'!$C$7</f>
        <v/>
      </c>
      <c r="J79" s="105">
        <f>+'[8]17'!$C$7</f>
        <v/>
      </c>
      <c r="K79" s="105">
        <f>+'[9]17'!$C$7</f>
        <v/>
      </c>
      <c r="L79" s="105">
        <f>+'[10]17'!$C$7</f>
        <v/>
      </c>
      <c r="M79" s="105">
        <f>+'[11]17'!$C$7</f>
        <v/>
      </c>
      <c r="N79" s="105">
        <f>+'[12]Bank Asset Analysis'!$C$7</f>
        <v/>
      </c>
      <c r="O79" s="105">
        <f>+'[13]17 т'!$C$7</f>
        <v/>
      </c>
      <c r="P79" s="105">
        <f>+'[14]Bank Assets Analysis'!$C$7</f>
        <v/>
      </c>
      <c r="Q79" s="105">
        <f>+'[15]Bank Assets Analysis'!$C$7</f>
        <v/>
      </c>
      <c r="R79" s="105">
        <f>+'[16]17'!$C$7</f>
        <v/>
      </c>
      <c r="S79" s="105">
        <f>+'[17]17'!$C$7</f>
        <v/>
      </c>
      <c r="T79" s="105">
        <f>+'[18]3'!$C$7</f>
        <v/>
      </c>
      <c r="U79" s="105">
        <f>+'[19]Bank Assets analysis'!$C$7</f>
        <v/>
      </c>
      <c r="V79" s="105">
        <f>+'[20]17'!$C$7</f>
        <v/>
      </c>
      <c r="W79" s="105">
        <f>+'[21]Bank Assets Analysis'!$C$7</f>
        <v/>
      </c>
      <c r="X79" s="105">
        <f>+'[22]17'!$C$7</f>
        <v/>
      </c>
      <c r="Y79" s="105">
        <f>+[23]Лист2!$C$7</f>
        <v/>
      </c>
      <c r="Z79" s="105">
        <f>+'[24]3'!$C$7</f>
        <v/>
      </c>
      <c r="AA79" s="105">
        <f>+[25]Assets!$C$7</f>
        <v/>
      </c>
      <c r="AB79" s="105">
        <f>+'[26]17'!$C$7</f>
        <v/>
      </c>
      <c r="AC79" s="105">
        <f>+'[27]17'!$C$7</f>
        <v/>
      </c>
      <c r="AD79" s="105">
        <f>+'[28]17'!$C$7</f>
        <v/>
      </c>
      <c r="AE79" s="105">
        <f>+[29]Лист3!$C$7</f>
        <v/>
      </c>
      <c r="AF79" s="105">
        <f>+'[30]17'!$C$7</f>
        <v/>
      </c>
      <c r="AG79" s="105">
        <f>+'[31]17'!$C$7</f>
        <v/>
      </c>
      <c r="AH79" s="105">
        <f>+'[32]17-жадвал'!$C$7</f>
        <v/>
      </c>
      <c r="AI79" s="250">
        <f>+[33]Assets!$C$7</f>
        <v/>
      </c>
      <c r="AJ79" s="105">
        <f>+'[34]Bank Assets Analysis'!$C$7</f>
        <v/>
      </c>
      <c r="AK79" s="105">
        <f>+'[35]17'!$C$7</f>
        <v/>
      </c>
    </row>
    <row r="80" ht="28.5" customHeight="1">
      <c r="A80" s="237" t="n"/>
      <c r="B80" s="104" t="inlineStr">
        <is>
          <t>Бошқа банклар ва молиявий ташкилотлардан олиниши лозим бўлган маблағлар (бесроч.)</t>
        </is>
      </c>
      <c r="C80" s="105">
        <f>+[1]Лист3!$C$9</f>
        <v/>
      </c>
      <c r="D80" s="105">
        <f>+'[2]17'!$C$9</f>
        <v/>
      </c>
      <c r="E80" s="105">
        <f>+'[3]3'!$C$9</f>
        <v/>
      </c>
      <c r="F80" s="105">
        <f>+'[4]Bank Assets Analysis'!$C$9</f>
        <v/>
      </c>
      <c r="G80" s="105">
        <f>+'[5]17'!$C$9</f>
        <v/>
      </c>
      <c r="H80" s="105">
        <f>+'[6]Bank Assets Analysis'!$C$9</f>
        <v/>
      </c>
      <c r="I80" s="105">
        <f>+'[7]Bank Assets Analysis'!$C$9</f>
        <v/>
      </c>
      <c r="J80" s="105">
        <f>+'[8]17'!$C$9</f>
        <v/>
      </c>
      <c r="K80" s="105">
        <f>+'[9]17'!$C$9</f>
        <v/>
      </c>
      <c r="L80" s="105">
        <f>+'[10]17'!$C$9</f>
        <v/>
      </c>
      <c r="M80" s="105">
        <f>+'[11]17'!$C$9</f>
        <v/>
      </c>
      <c r="N80" s="105">
        <f>+'[12]Bank Asset Analysis'!$C$9</f>
        <v/>
      </c>
      <c r="O80" s="105">
        <f>+'[13]17 т'!$C$9</f>
        <v/>
      </c>
      <c r="P80" s="105">
        <f>+'[14]Bank Assets Analysis'!$C$9</f>
        <v/>
      </c>
      <c r="Q80" s="105">
        <f>+'[15]Bank Assets Analysis'!$C$9</f>
        <v/>
      </c>
      <c r="R80" s="105">
        <f>+'[16]17'!$C$9</f>
        <v/>
      </c>
      <c r="S80" s="105">
        <f>+'[17]17'!$C$9</f>
        <v/>
      </c>
      <c r="T80" s="105">
        <f>+'[18]3'!$C$9</f>
        <v/>
      </c>
      <c r="U80" s="105">
        <f>+'[19]Bank Assets analysis'!$C$9</f>
        <v/>
      </c>
      <c r="V80" s="105">
        <f>+'[20]17'!$C$9</f>
        <v/>
      </c>
      <c r="W80" s="105">
        <f>+'[21]Bank Assets Analysis'!$C$9</f>
        <v/>
      </c>
      <c r="X80" s="105">
        <f>+'[22]17'!$C$9</f>
        <v/>
      </c>
      <c r="Y80" s="105">
        <f>+[23]Лист2!$C$9</f>
        <v/>
      </c>
      <c r="Z80" s="105">
        <f>+'[24]3'!$C$9</f>
        <v/>
      </c>
      <c r="AA80" s="105">
        <f>+[25]Assets!$C$9</f>
        <v/>
      </c>
      <c r="AB80" s="105">
        <f>+'[26]17'!$C$9</f>
        <v/>
      </c>
      <c r="AC80" s="105">
        <f>+'[27]17'!$C$9</f>
        <v/>
      </c>
      <c r="AD80" s="105">
        <f>+'[28]17'!$C$9</f>
        <v/>
      </c>
      <c r="AE80" s="105">
        <f>+[29]Лист3!$C$9</f>
        <v/>
      </c>
      <c r="AF80" s="105">
        <f>+'[30]17'!$C$9</f>
        <v/>
      </c>
      <c r="AG80" s="105">
        <f>+'[31]17'!$C$9</f>
        <v/>
      </c>
      <c r="AH80" s="105">
        <f>+'[32]17-жадвал'!$C$9</f>
        <v/>
      </c>
      <c r="AI80" s="250">
        <f>+[33]Assets!$C$9</f>
        <v/>
      </c>
      <c r="AJ80" s="106">
        <f>+'[34]Bank Assets Analysis'!$C$9</f>
        <v/>
      </c>
      <c r="AK80" s="106">
        <f>+'[35]17'!$C$9</f>
        <v/>
      </c>
    </row>
    <row r="81" ht="28.5" customHeight="1">
      <c r="A81" s="237" t="n"/>
      <c r="B81" s="104" t="inlineStr">
        <is>
          <t>Бошқа банклар ва молиявий ташкилотлардан олиниши лозим бўлган маблағлар (1-30 кун)</t>
        </is>
      </c>
      <c r="C81" s="105">
        <f>+[1]Лист3!$E$9+[1]Лист3!$G$9</f>
        <v/>
      </c>
      <c r="D81" s="105">
        <f>+'[2]17'!$E$9+'[2]17'!$G$9</f>
        <v/>
      </c>
      <c r="E81" s="105">
        <f>+'[3]3'!$E$9+'[3]3'!$G$9</f>
        <v/>
      </c>
      <c r="F81" s="105">
        <f>+'[4]Bank Assets Analysis'!$E$9+'[4]Bank Assets Analysis'!$G$9</f>
        <v/>
      </c>
      <c r="G81" s="105">
        <f>+'[5]17'!$E$9+'[5]17'!$G$9</f>
        <v/>
      </c>
      <c r="H81" s="105">
        <f>+'[6]Bank Assets Analysis'!$E$9+'[6]Bank Assets Analysis'!$G$9</f>
        <v/>
      </c>
      <c r="I81" s="105">
        <f>+'[7]Bank Assets Analysis'!$E$9+'[7]Bank Assets Analysis'!$G$9</f>
        <v/>
      </c>
      <c r="J81" s="105">
        <f>+'[8]17'!$E$9+'[8]17'!$G$9</f>
        <v/>
      </c>
      <c r="K81" s="105">
        <f>+'[9]17'!$E$9+'[9]17'!$G$9</f>
        <v/>
      </c>
      <c r="L81" s="105">
        <f>+'[10]17'!$E$9+'[10]17'!$G$9</f>
        <v/>
      </c>
      <c r="M81" s="105">
        <f>+'[11]17'!$E$9+'[11]17'!$G$9</f>
        <v/>
      </c>
      <c r="N81" s="105">
        <f>+'[12]Bank Asset Analysis'!$E$9+'[12]Bank Asset Analysis'!$G$9</f>
        <v/>
      </c>
      <c r="O81" s="105">
        <f>+'[13]17 т'!$E$9+'[13]17 т'!$G$9</f>
        <v/>
      </c>
      <c r="P81" s="105">
        <f>+'[14]Bank Assets Analysis'!$E$9+'[14]Bank Assets Analysis'!$G$9</f>
        <v/>
      </c>
      <c r="Q81" s="105">
        <f>+'[15]Bank Assets Analysis'!$E$9+'[15]Bank Assets Analysis'!$G$9</f>
        <v/>
      </c>
      <c r="R81" s="105">
        <f>+'[16]17'!$E$9+'[16]17'!$G$9</f>
        <v/>
      </c>
      <c r="S81" s="105">
        <f>+'[17]17'!$E$9+'[17]17'!$G$9</f>
        <v/>
      </c>
      <c r="T81" s="105">
        <f>+'[18]3'!$E$9+'[18]3'!$G$9</f>
        <v/>
      </c>
      <c r="U81" s="105">
        <f>+'[19]Bank Assets analysis'!$E$9+'[19]Bank Assets analysis'!$G$9</f>
        <v/>
      </c>
      <c r="V81" s="105">
        <f>+'[20]17'!$E$9+'[20]17'!$G$9</f>
        <v/>
      </c>
      <c r="W81" s="105">
        <f>+'[21]Bank Assets Analysis'!$E$9+'[21]Bank Assets Analysis'!$G$9</f>
        <v/>
      </c>
      <c r="X81" s="105">
        <f>+'[22]17'!$E$9+'[22]17'!$G$9</f>
        <v/>
      </c>
      <c r="Y81" s="105">
        <f>+[23]Лист2!$E$9+[23]Лист2!$G$9</f>
        <v/>
      </c>
      <c r="Z81" s="105">
        <f>+'[24]3'!$E$9+'[24]3'!$G$9</f>
        <v/>
      </c>
      <c r="AA81" s="105">
        <f>+[25]Assets!$E$9+[25]Assets!$G$9</f>
        <v/>
      </c>
      <c r="AB81" s="105">
        <f>+'[26]17'!$E$9+'[26]17'!$G$9</f>
        <v/>
      </c>
      <c r="AC81" s="105">
        <f>+'[27]17'!$E$9+'[27]17'!$G$9</f>
        <v/>
      </c>
      <c r="AD81" s="105">
        <f>+'[28]17'!$E$9+'[28]17'!$G$9</f>
        <v/>
      </c>
      <c r="AE81" s="105">
        <f>+[29]Лист3!$E$9+[29]Лист3!$G$9</f>
        <v/>
      </c>
      <c r="AF81" s="105">
        <f>+'[30]17'!$E$9+'[30]17'!$G$9</f>
        <v/>
      </c>
      <c r="AG81" s="105">
        <f>+'[31]17'!$E$9+'[31]17'!$G$9</f>
        <v/>
      </c>
      <c r="AH81" s="105">
        <f>+'[32]17-жадвал'!$E$9+'[32]17-жадвал'!$G$9</f>
        <v/>
      </c>
      <c r="AI81" s="250">
        <f>+[33]Assets!$E$9+[33]Assets!$G$9</f>
        <v/>
      </c>
      <c r="AJ81" s="105">
        <f>+'[34]Bank Assets Analysis'!$E$9+'[34]Bank Assets Analysis'!$G$9</f>
        <v/>
      </c>
      <c r="AK81" s="105">
        <f>+'[35]17'!$E$9+'[35]17'!$G$9</f>
        <v/>
      </c>
    </row>
    <row r="82" ht="15.75" customHeight="1">
      <c r="A82" s="83" t="n"/>
      <c r="B82" s="107" t="inlineStr">
        <is>
          <t>P&amp;L</t>
        </is>
      </c>
      <c r="C82" s="81" t="n"/>
      <c r="D82" s="81" t="n"/>
      <c r="E82" s="83" t="n"/>
      <c r="F82" s="81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290" t="n"/>
      <c r="AI82" s="82" t="n"/>
      <c r="AJ82" s="81" t="n"/>
      <c r="AK82" s="81" t="n"/>
    </row>
    <row r="83">
      <c r="A83" s="109" t="n">
        <v>1</v>
      </c>
      <c r="B83" s="111" t="inlineStr">
        <is>
          <t>Жами фоизли даромадлар</t>
        </is>
      </c>
      <c r="C83" s="189">
        <f>+IFERROR(VLOOKUP(B83,[1]Лист2!$B$6:$E$1048576,2,0),0)</f>
        <v/>
      </c>
      <c r="D83" s="189">
        <f>+IFERROR(VLOOKUP(B83,'[2]3'!$B$6:$D$1048576,2,0),0)</f>
        <v/>
      </c>
      <c r="E83" s="190">
        <f>+IFERROR(VLOOKUP(B83,'[3]2'!$B$5:$C$77,2,0),0)</f>
        <v/>
      </c>
      <c r="F83" s="189">
        <f>+IFERROR(VLOOKUP(B83,'[4]Income '!$B$5:$E$77,2,0),0)</f>
        <v/>
      </c>
      <c r="G83" s="189">
        <f>+IFERROR(VLOOKUP(B83,'[5]3'!$B$6:$C$1048576,2,0),0)</f>
        <v/>
      </c>
      <c r="H83" s="189">
        <f>+IFERROR(VLOOKUP(B83,[6]Income!$B$6:$D$1048576,2,0),0)</f>
        <v/>
      </c>
      <c r="I83" s="189">
        <f>+IFERROR(VLOOKUP(B83,'[7]Income '!$B$6:$E$1048576,2,0),0)</f>
        <v/>
      </c>
      <c r="J83" s="189">
        <f>+IFERROR(VLOOKUP(B83,'[8]3'!$B$5:$C$77,2,0),0)</f>
        <v/>
      </c>
      <c r="K83" s="189">
        <f>+IFERROR(VLOOKUP(B83,'[9]3'!$B$6:$E$1048576,2,0),0)</f>
        <v/>
      </c>
      <c r="L83" s="189">
        <f>+IFERROR(VLOOKUP(B83,'[10]3'!$B$6:$E$1048576,2,0),0)</f>
        <v/>
      </c>
      <c r="M83" s="189">
        <f>+IFERROR(VLOOKUP(B83,'[11]3'!$B$6:$E$1048576,2,0),0)</f>
        <v/>
      </c>
      <c r="N83" s="189">
        <f>+IFERROR(VLOOKUP(B83,[12]Income!$B$6:$D$1048576,2,0),0)</f>
        <v/>
      </c>
      <c r="O83" s="189">
        <f>+IFERROR(VLOOKUP(B83,'[13]3 т'!$B$6:$C$1048576,2,0),0)</f>
        <v/>
      </c>
      <c r="P83" s="189">
        <f>+IFERROR(VLOOKUP(B83,[14]Income!$B$6:$D$1048576,2,0),0)</f>
        <v/>
      </c>
      <c r="Q83" s="189">
        <f>+IFERROR(VLOOKUP(B83,[15]Income!$B$6:$E$1048576,2,0),0)</f>
        <v/>
      </c>
      <c r="R83" s="189">
        <f>+IFERROR(VLOOKUP(B83,'[16]3'!$B$5:$E$90,2,0),0)</f>
        <v/>
      </c>
      <c r="S83" s="189">
        <f>+IFERROR(VLOOKUP(B83,'[17]3'!$B$6:$E$1048576,2,0),0)</f>
        <v/>
      </c>
      <c r="T83" s="189">
        <f>+IFERROR(VLOOKUP(B83,'[18]2'!$B$5:$E$78,2,0),0)</f>
        <v/>
      </c>
      <c r="U83" s="189">
        <f>+IFERROR(VLOOKUP(B83,[19]Income!$B$6:$D$1048576,2,0),0)</f>
        <v/>
      </c>
      <c r="V83" s="189">
        <f>+IFERROR(VLOOKUP(B83,'[20]3'!$B$6:$E$1048576,2,0),0)</f>
        <v/>
      </c>
      <c r="W83" s="189">
        <f>+IFERROR(VLOOKUP(B83,'[21]Income '!$B$6:$D$1048576,2,0),0)</f>
        <v/>
      </c>
      <c r="X83" s="189">
        <f>+IFERROR(VLOOKUP(B83,'[22]3'!$B$6:$D$1048576,2,0),0)</f>
        <v/>
      </c>
      <c r="Y83" s="189">
        <f>+IFERROR(VLOOKUP(B83,[23]Лист4!$B$5:$C$78,2,0),0)</f>
        <v/>
      </c>
      <c r="Z83" s="189">
        <f>+IFERROR(VLOOKUP(B83,'[24]2'!$B$5:$C$78,2,0),0)</f>
        <v/>
      </c>
      <c r="AA83" s="189">
        <f>+IFERROR(VLOOKUP(B83,[25]Income!$B$5:$C$78,2,0),0)</f>
        <v/>
      </c>
      <c r="AB83" s="189">
        <f>+IFERROR(VLOOKUP(B83,'[26]3'!$B$6:$E$1048576,2,0),0)</f>
        <v/>
      </c>
      <c r="AC83" s="189">
        <f>+IFERROR(VLOOKUP(B83,'[27]3'!$B$6:$E$1048576,2,0),0)</f>
        <v/>
      </c>
      <c r="AD83" s="189">
        <f>+IFERROR(VLOOKUP(B83,'[28]3'!$B$6:$E$1048576,2,0),0)</f>
        <v/>
      </c>
      <c r="AE83" s="189">
        <f>+IFERROR(VLOOKUP(B83,[29]Лист2!$B$6:$E$1048576,2,0),0)</f>
        <v/>
      </c>
      <c r="AF83" s="189">
        <f>+IFERROR(VLOOKUP($B83,'[30]3'!$B$6:$E$1048576,2,0),0)</f>
        <v/>
      </c>
      <c r="AG83" s="190">
        <f>+IFERROR(VLOOKUP(B83,'[31]3'!$B$6:$D$1048576,2,0),0)</f>
        <v/>
      </c>
      <c r="AH83" s="291">
        <f>+IFERROR(VLOOKUP(B83,'[32]3-жадвал'!$B$6:$C$1048576,2,0),0)</f>
        <v/>
      </c>
      <c r="AI83" s="251">
        <f>+IFERROR(VLOOKUP(B83,[33]Income!$B$5:$C$78,2,0),0)</f>
        <v/>
      </c>
      <c r="AJ83" s="256">
        <f>+IFERROR(VLOOKUP(B83,[34]Income!$B$6:$D$1048576,2,0),0)</f>
        <v/>
      </c>
      <c r="AK83" s="256">
        <f>+IFERROR(VLOOKUP($B83,'[35]3'!$B$6:$D$1048576,2,0),0)</f>
        <v/>
      </c>
    </row>
    <row r="84">
      <c r="A84" s="109" t="n">
        <v>2</v>
      </c>
      <c r="B84" s="111" t="inlineStr">
        <is>
          <t>Жами фоизли харажатлар</t>
        </is>
      </c>
      <c r="C84" s="189">
        <f>+IFERROR(VLOOKUP(B84,[1]Лист2!$B$6:$E$1048576,2,0),0)</f>
        <v/>
      </c>
      <c r="D84" s="189">
        <f>+IFERROR(VLOOKUP(B84,'[2]3'!$B$6:$D$1048576,2,0),0)</f>
        <v/>
      </c>
      <c r="E84" s="190">
        <f>+IFERROR(VLOOKUP(B84,'[3]2'!$B$5:$C$77,2,0),0)</f>
        <v/>
      </c>
      <c r="F84" s="189">
        <f>+IFERROR(VLOOKUP(B84,'[4]Income '!$B$5:$E$77,2,0),0)</f>
        <v/>
      </c>
      <c r="G84" s="189">
        <f>+IFERROR(VLOOKUP(B84,'[5]3'!$B$6:$C$1048576,2,0),0)</f>
        <v/>
      </c>
      <c r="H84" s="189">
        <f>+IFERROR(VLOOKUP(B84,[6]Income!$B$6:$D$1048576,2,0),0)</f>
        <v/>
      </c>
      <c r="I84" s="189">
        <f>+IFERROR(VLOOKUP(B84,'[7]Income '!$B$6:$E$1048576,2,0),0)</f>
        <v/>
      </c>
      <c r="J84" s="189">
        <f>+IFERROR(VLOOKUP(B84,'[8]3'!$B$5:$C$77,2,0),0)</f>
        <v/>
      </c>
      <c r="K84" s="189">
        <f>+IFERROR(VLOOKUP(B84,'[9]3'!$B$6:$E$1048576,2,0),0)</f>
        <v/>
      </c>
      <c r="L84" s="189">
        <f>+IFERROR(VLOOKUP(B84,'[10]3'!$B$6:$E$1048576,2,0),0)</f>
        <v/>
      </c>
      <c r="M84" s="189">
        <f>+IFERROR(VLOOKUP(B84,'[11]3'!$B$6:$E$1048576,2,0),0)</f>
        <v/>
      </c>
      <c r="N84" s="189">
        <f>+IFERROR(VLOOKUP(B84,[12]Income!$B$6:$D$1048576,2,0),0)</f>
        <v/>
      </c>
      <c r="O84" s="189">
        <f>+IFERROR(VLOOKUP(B84,'[13]3 т'!$B$6:$C$1048576,2,0),0)</f>
        <v/>
      </c>
      <c r="P84" s="189">
        <f>+IFERROR(VLOOKUP(B84,[14]Income!$B$6:$D$1048576,2,0),0)</f>
        <v/>
      </c>
      <c r="Q84" s="189">
        <f>+IFERROR(VLOOKUP(B84,[15]Income!$B$6:$E$1048576,2,0),0)</f>
        <v/>
      </c>
      <c r="R84" s="189">
        <f>+IFERROR(VLOOKUP(B84,'[16]3'!$B$5:$E$90,2,0),0)</f>
        <v/>
      </c>
      <c r="S84" s="189">
        <f>+IFERROR(VLOOKUP(B84,'[17]3'!$B$6:$E$1048576,2,0),0)</f>
        <v/>
      </c>
      <c r="T84" s="189">
        <f>+IFERROR(VLOOKUP(B84,'[18]2'!$B$5:$E$78,2,0),0)</f>
        <v/>
      </c>
      <c r="U84" s="189">
        <f>+IFERROR(VLOOKUP(B84,[19]Income!$B$6:$D$1048576,2,0),0)</f>
        <v/>
      </c>
      <c r="V84" s="189">
        <f>+IFERROR(VLOOKUP(B84,'[20]3'!$B$6:$E$1048576,2,0),0)</f>
        <v/>
      </c>
      <c r="W84" s="189">
        <f>+IFERROR(VLOOKUP(B84,'[21]Income '!$B$6:$D$1048576,2,0),0)</f>
        <v/>
      </c>
      <c r="X84" s="189">
        <f>+IFERROR(VLOOKUP(B84,'[22]3'!$B$6:$D$1048576,2,0),0)</f>
        <v/>
      </c>
      <c r="Y84" s="189">
        <f>+IFERROR(VLOOKUP(B84,[23]Лист4!$B$5:$C$78,2,0),0)</f>
        <v/>
      </c>
      <c r="Z84" s="189">
        <f>+IFERROR(VLOOKUP(B84,'[24]2'!$B$5:$C$78,2,0),0)</f>
        <v/>
      </c>
      <c r="AA84" s="189">
        <f>+IFERROR(VLOOKUP(B84,[25]Income!$B$5:$C$78,2,0),0)</f>
        <v/>
      </c>
      <c r="AB84" s="189">
        <f>+IFERROR(VLOOKUP(B84,'[26]3'!$B$6:$E$1048576,2,0),0)</f>
        <v/>
      </c>
      <c r="AC84" s="189">
        <f>+IFERROR(VLOOKUP(B84,'[27]3'!$B$6:$E$1048576,2,0),0)</f>
        <v/>
      </c>
      <c r="AD84" s="189">
        <f>+IFERROR(VLOOKUP(B84,'[28]3'!$B$6:$E$1048576,2,0),0)</f>
        <v/>
      </c>
      <c r="AE84" s="189">
        <f>+IFERROR(VLOOKUP(B84,[29]Лист2!$B$6:$E$1048576,2,0),0)</f>
        <v/>
      </c>
      <c r="AF84" s="189">
        <f>+IFERROR(VLOOKUP($B84,'[30]3'!$B$6:$E$1048576,2,0),0)</f>
        <v/>
      </c>
      <c r="AG84" s="190">
        <f>+IFERROR(VLOOKUP(B84,'[31]3'!$B$6:$D$1048576,2,0),0)</f>
        <v/>
      </c>
      <c r="AH84" s="291">
        <f>+IFERROR(VLOOKUP(B84,'[32]3-жадвал'!$B$6:$C$1048576,2,0),0)</f>
        <v/>
      </c>
      <c r="AI84" s="251">
        <f>+IFERROR(VLOOKUP(B84,[33]Income!$B$5:$C$78,2,0),0)</f>
        <v/>
      </c>
      <c r="AJ84" s="256">
        <f>+IFERROR(VLOOKUP(B84,[34]Income!$B$6:$D$1048576,2,0),0)</f>
        <v/>
      </c>
      <c r="AK84" s="256">
        <f>+IFERROR(VLOOKUP($B84,'[35]3'!$B$6:$D$1048576,2,0),0)</f>
        <v/>
      </c>
    </row>
    <row r="85" ht="42" customHeight="1">
      <c r="A85" s="109" t="n">
        <v>3</v>
      </c>
      <c r="B85" s="112" t="inlineStr">
        <is>
          <t>Активлар бўйича эҳтимолий йўқотишларга қарши яратилган захираларни баҳолашдан олдинги соф даромад</t>
        </is>
      </c>
      <c r="C85" s="189">
        <f>+IFERROR(VLOOKUP(B85,[1]Лист2!$B$6:$E$1048576,2,0),0)</f>
        <v/>
      </c>
      <c r="D85" s="189">
        <f>+IFERROR(VLOOKUP(B85,'[2]3'!$B$6:$D$1048576,2,0),0)</f>
        <v/>
      </c>
      <c r="E85" s="190">
        <f>+IFERROR(VLOOKUP(B85,'[3]2'!$B$5:$C$77,2,0),0)</f>
        <v/>
      </c>
      <c r="F85" s="189">
        <f>+IFERROR(VLOOKUP(B85,'[4]Income '!$B$5:$E$77,2,0),0)</f>
        <v/>
      </c>
      <c r="G85" s="189">
        <f>+IFERROR(VLOOKUP(B85,'[5]3'!$B$6:$C$1048576,2,0),0)</f>
        <v/>
      </c>
      <c r="H85" s="189">
        <f>+IFERROR(VLOOKUP(B85,[6]Income!$B$6:$D$1048576,2,0),0)</f>
        <v/>
      </c>
      <c r="I85" s="189">
        <f>+IFERROR(VLOOKUP(B85,'[7]Income '!$B$6:$E$1048576,2,0),0)</f>
        <v/>
      </c>
      <c r="J85" s="189">
        <f>+IFERROR(VLOOKUP(B85,'[8]3'!$B$5:$C$77,2,0),0)</f>
        <v/>
      </c>
      <c r="K85" s="189">
        <f>+IFERROR(VLOOKUP(B85,'[9]3'!$B$6:$E$1048576,2,0),0)</f>
        <v/>
      </c>
      <c r="L85" s="189">
        <f>+IFERROR(VLOOKUP(B85,'[10]3'!$B$6:$E$1048576,2,0),0)</f>
        <v/>
      </c>
      <c r="M85" s="189">
        <f>+IFERROR(VLOOKUP(B85,'[11]3'!$B$6:$E$1048576,2,0),0)</f>
        <v/>
      </c>
      <c r="N85" s="189">
        <f>+IFERROR(VLOOKUP(B85,[12]Income!$B$6:$D$1048576,2,0),0)</f>
        <v/>
      </c>
      <c r="O85" s="189">
        <f>+IFERROR(VLOOKUP(B85,'[13]3 т'!$B$6:$C$1048576,2,0),0)</f>
        <v/>
      </c>
      <c r="P85" s="189">
        <f>+IFERROR(VLOOKUP(B85,[14]Income!$B$6:$D$1048576,2,0),0)</f>
        <v/>
      </c>
      <c r="Q85" s="189">
        <f>+IFERROR(VLOOKUP(B85,[15]Income!$B$6:$E$1048576,2,0),0)</f>
        <v/>
      </c>
      <c r="R85" s="189">
        <f>+IFERROR(VLOOKUP(B85,'[16]3'!$B$5:$E$90,2,0),0)</f>
        <v/>
      </c>
      <c r="S85" s="189">
        <f>+IFERROR(VLOOKUP(B85,'[17]3'!$B$6:$E$1048576,2,0),0)</f>
        <v/>
      </c>
      <c r="T85" s="189">
        <f>+IFERROR(VLOOKUP(B85,'[18]2'!$B$5:$E$78,2,0),0)</f>
        <v/>
      </c>
      <c r="U85" s="189">
        <f>+IFERROR(VLOOKUP(B85,[19]Income!$B$6:$D$1048576,2,0),0)</f>
        <v/>
      </c>
      <c r="V85" s="189">
        <f>+IFERROR(VLOOKUP(B85,'[20]3'!$B$6:$E$1048576,2,0),0)</f>
        <v/>
      </c>
      <c r="W85" s="189">
        <f>+IFERROR(VLOOKUP(B85,'[21]Income '!$B$6:$D$1048576,2,0),0)</f>
        <v/>
      </c>
      <c r="X85" s="189">
        <f>+IFERROR(VLOOKUP(B85,'[22]3'!$B$6:$D$1048576,2,0),0)</f>
        <v/>
      </c>
      <c r="Y85" s="189">
        <f>+IFERROR(VLOOKUP(B85,[23]Лист4!$B$5:$C$78,2,0),0)</f>
        <v/>
      </c>
      <c r="Z85" s="189">
        <f>+IFERROR(VLOOKUP(B85,'[24]2'!$B$5:$C$78,2,0),0)</f>
        <v/>
      </c>
      <c r="AA85" s="189">
        <f>+IFERROR(VLOOKUP(B85,[25]Income!$B$5:$C$78,2,0),0)</f>
        <v/>
      </c>
      <c r="AB85" s="189">
        <f>+IFERROR(VLOOKUP(B85,'[26]3'!$B$6:$E$1048576,2,0),0)</f>
        <v/>
      </c>
      <c r="AC85" s="189">
        <f>+IFERROR(VLOOKUP(B85,'[27]3'!$B$6:$E$1048576,2,0),0)</f>
        <v/>
      </c>
      <c r="AD85" s="189">
        <f>+IFERROR(VLOOKUP(B85,'[28]3'!$B$6:$E$1048576,2,0),0)</f>
        <v/>
      </c>
      <c r="AE85" s="189">
        <f>+IFERROR(VLOOKUP(B85,[29]Лист2!$B$6:$E$1048576,2,0),0)</f>
        <v/>
      </c>
      <c r="AF85" s="189">
        <f>+IFERROR(VLOOKUP($B85,'[30]3'!$B$6:$E$1048576,2,0),0)</f>
        <v/>
      </c>
      <c r="AG85" s="190">
        <f>+IFERROR(VLOOKUP(B85,'[31]3'!$B$6:$D$1048576,2,0),0)</f>
        <v/>
      </c>
      <c r="AH85" s="291">
        <f>+IFERROR(VLOOKUP(B85,'[32]3-жадвал'!$B$6:$C$1048576,2,0),0)</f>
        <v/>
      </c>
      <c r="AI85" s="251">
        <f>+IFERROR(VLOOKUP(B85,[33]Income!$B$5:$C$78,2,0),0)</f>
        <v/>
      </c>
      <c r="AJ85" s="256">
        <f>+IFERROR(VLOOKUP(B85,[34]Income!$B$6:$D$1048576,2,0),0)</f>
        <v/>
      </c>
      <c r="AK85" s="256">
        <f>+IFERROR(VLOOKUP($B85,'[35]3'!$B$6:$D$1048576,2,0),0)</f>
        <v/>
      </c>
    </row>
    <row r="86" ht="28.5" customHeight="1">
      <c r="A86" s="113" t="inlineStr">
        <is>
          <t xml:space="preserve">   а.</t>
        </is>
      </c>
      <c r="B86" s="114" t="inlineStr">
        <is>
          <t>Минус: Кредит ва лизинглар бўйича кўрилиши мумкин бўлган зарарларни баҳолаш</t>
        </is>
      </c>
      <c r="C86" s="189">
        <f>+IFERROR(VLOOKUP(B86,[1]Лист2!$B$6:$E$1048576,2,0),0)</f>
        <v/>
      </c>
      <c r="D86" s="189">
        <f>+IFERROR(VLOOKUP(B86,'[2]3'!$B$6:$D$1048576,2,0),0)</f>
        <v/>
      </c>
      <c r="E86" s="190">
        <f>+IFERROR(VLOOKUP(B86,'[3]2'!$B$5:$C$77,2,0),0)</f>
        <v/>
      </c>
      <c r="F86" s="189">
        <f>+IFERROR(VLOOKUP(B86,'[4]Income '!$B$5:$E$77,2,0),0)</f>
        <v/>
      </c>
      <c r="G86" s="189">
        <f>+IFERROR(VLOOKUP(B86,'[5]3'!$B$6:$C$1048576,2,0),0)</f>
        <v/>
      </c>
      <c r="H86" s="189">
        <f>+IFERROR(VLOOKUP(B86,[6]Income!$B$6:$D$1048576,2,0),0)</f>
        <v/>
      </c>
      <c r="I86" s="189">
        <f>+IFERROR(VLOOKUP(B86,'[7]Income '!$B$6:$E$1048576,2,0),0)</f>
        <v/>
      </c>
      <c r="J86" s="189">
        <f>+IFERROR(VLOOKUP(B86,'[8]3'!$B$5:$C$77,2,0),0)</f>
        <v/>
      </c>
      <c r="K86" s="189">
        <f>+IFERROR(VLOOKUP(B86,'[9]3'!$B$6:$E$1048576,2,0),0)</f>
        <v/>
      </c>
      <c r="L86" s="189">
        <f>+IFERROR(VLOOKUP(B86,'[10]3'!$B$6:$E$1048576,2,0),0)</f>
        <v/>
      </c>
      <c r="M86" s="189">
        <f>+IFERROR(VLOOKUP(B86,'[11]3'!$B$6:$E$1048576,2,0),0)</f>
        <v/>
      </c>
      <c r="N86" s="189">
        <f>+IFERROR(VLOOKUP(B86,[12]Income!$B$6:$D$1048576,2,0),0)</f>
        <v/>
      </c>
      <c r="O86" s="189">
        <f>+IFERROR(VLOOKUP(B86,'[13]3 т'!$B$6:$C$1048576,2,0),0)</f>
        <v/>
      </c>
      <c r="P86" s="189">
        <f>+IFERROR(VLOOKUP(B86,[14]Income!$B$6:$D$1048576,2,0),0)</f>
        <v/>
      </c>
      <c r="Q86" s="189">
        <f>+IFERROR(VLOOKUP(B86,[15]Income!$B$6:$E$1048576,2,0),0)</f>
        <v/>
      </c>
      <c r="R86" s="189">
        <f>+IFERROR(VLOOKUP(B86,'[16]3'!$B$5:$E$90,2,0),0)</f>
        <v/>
      </c>
      <c r="S86" s="189">
        <f>+IFERROR(VLOOKUP(B86,'[17]3'!$B$6:$E$1048576,2,0),0)</f>
        <v/>
      </c>
      <c r="T86" s="189">
        <f>+IFERROR(VLOOKUP(B86,'[18]2'!$B$5:$E$78,2,0),0)</f>
        <v/>
      </c>
      <c r="U86" s="189">
        <f>+IFERROR(VLOOKUP(B86,[19]Income!$B$6:$D$1048576,2,0),0)</f>
        <v/>
      </c>
      <c r="V86" s="189">
        <f>+IFERROR(VLOOKUP(B86,'[20]3'!$B$6:$E$1048576,2,0),0)</f>
        <v/>
      </c>
      <c r="W86" s="189">
        <f>+IFERROR(VLOOKUP(B86,'[21]Income '!$B$6:$D$1048576,2,0),0)</f>
        <v/>
      </c>
      <c r="X86" s="189">
        <f>+IFERROR(VLOOKUP(B86,'[22]3'!$B$6:$D$1048576,2,0),0)</f>
        <v/>
      </c>
      <c r="Y86" s="189">
        <f>+IFERROR(VLOOKUP(B86,[23]Лист4!$B$5:$C$78,2,0),0)</f>
        <v/>
      </c>
      <c r="Z86" s="189">
        <f>+IFERROR(VLOOKUP(B86,'[24]2'!$B$5:$C$78,2,0),0)</f>
        <v/>
      </c>
      <c r="AA86" s="189">
        <f>+IFERROR(VLOOKUP(B86,[25]Income!$B$5:$C$78,2,0),0)</f>
        <v/>
      </c>
      <c r="AB86" s="189">
        <f>+IFERROR(VLOOKUP(B86,'[26]3'!$B$6:$E$1048576,2,0),0)</f>
        <v/>
      </c>
      <c r="AC86" s="189">
        <f>+IFERROR(VLOOKUP(B86,'[27]3'!$B$6:$E$1048576,2,0),0)</f>
        <v/>
      </c>
      <c r="AD86" s="189">
        <f>+IFERROR(VLOOKUP(B86,'[28]3'!$B$6:$E$1048576,2,0),0)</f>
        <v/>
      </c>
      <c r="AE86" s="189">
        <f>+IFERROR(VLOOKUP(B86,[29]Лист2!$B$6:$E$1048576,2,0),0)</f>
        <v/>
      </c>
      <c r="AF86" s="189">
        <f>+IFERROR(VLOOKUP($B86,'[30]3'!$B$6:$E$1048576,2,0),0)</f>
        <v/>
      </c>
      <c r="AG86" s="190">
        <f>+IFERROR(VLOOKUP(B86,'[31]3'!$B$6:$D$1048576,2,0),0)</f>
        <v/>
      </c>
      <c r="AH86" s="291">
        <f>+IFERROR(VLOOKUP(B86,'[32]3-жадвал'!$B$6:$C$1048576,2,0),0)</f>
        <v/>
      </c>
      <c r="AI86" s="251">
        <f>+IFERROR(VLOOKUP(B86,[33]Income!$B$5:$C$78,2,0),0)</f>
        <v/>
      </c>
      <c r="AJ86" s="256">
        <f>+IFERROR(VLOOKUP(B86,[34]Income!$B$6:$D$1048576,2,0),0)</f>
        <v/>
      </c>
      <c r="AK86" s="256">
        <f>+IFERROR(VLOOKUP($B86,'[35]3'!$B$6:$D$1048576,2,0),0)</f>
        <v/>
      </c>
    </row>
    <row r="87" ht="25.5" customHeight="1">
      <c r="A87" s="113" t="inlineStr">
        <is>
          <t xml:space="preserve">   б.</t>
        </is>
      </c>
      <c r="B87" s="115" t="inlineStr">
        <is>
          <t>Минус: Қимматли қоғозлар бўйича кўрилиши мумкин бўлган зарарларни баҳолаш</t>
        </is>
      </c>
      <c r="C87" s="189">
        <f>+IFERROR(VLOOKUP(B87,[1]Лист2!$B$6:$E$1048576,2,0),0)</f>
        <v/>
      </c>
      <c r="D87" s="189">
        <f>+IFERROR(VLOOKUP(B87,'[2]3'!$B$6:$D$1048576,2,0),0)</f>
        <v/>
      </c>
      <c r="E87" s="190">
        <f>+IFERROR(VLOOKUP(B87,'[3]2'!$B$5:$C$77,2,0),0)</f>
        <v/>
      </c>
      <c r="F87" s="189">
        <f>+IFERROR(VLOOKUP(B87,'[4]Income '!$B$5:$E$77,2,0),0)</f>
        <v/>
      </c>
      <c r="G87" s="189">
        <f>+IFERROR(VLOOKUP(B87,'[5]3'!$B$6:$C$1048576,2,0),0)</f>
        <v/>
      </c>
      <c r="H87" s="189">
        <f>+IFERROR(VLOOKUP(B87,[6]Income!$B$6:$D$1048576,2,0),0)</f>
        <v/>
      </c>
      <c r="I87" s="189">
        <f>+IFERROR(VLOOKUP(B87,'[7]Income '!$B$6:$E$1048576,2,0),0)</f>
        <v/>
      </c>
      <c r="J87" s="189">
        <f>+IFERROR(VLOOKUP(B87,'[8]3'!$B$5:$C$77,2,0),0)</f>
        <v/>
      </c>
      <c r="K87" s="189">
        <f>+IFERROR(VLOOKUP(B87,'[9]3'!$B$6:$E$1048576,2,0),0)</f>
        <v/>
      </c>
      <c r="L87" s="189">
        <f>+IFERROR(VLOOKUP(B87,'[10]3'!$B$6:$E$1048576,2,0),0)</f>
        <v/>
      </c>
      <c r="M87" s="189">
        <f>+IFERROR(VLOOKUP(B87,'[11]3'!$B$6:$E$1048576,2,0),0)</f>
        <v/>
      </c>
      <c r="N87" s="189">
        <f>+IFERROR(VLOOKUP(B87,[12]Income!$B$6:$D$1048576,2,0),0)</f>
        <v/>
      </c>
      <c r="O87" s="189">
        <f>+IFERROR(VLOOKUP(B87,'[13]3 т'!$B$6:$C$1048576,2,0),0)</f>
        <v/>
      </c>
      <c r="P87" s="189">
        <f>+IFERROR(VLOOKUP(B87,[14]Income!$B$6:$D$1048576,2,0),0)</f>
        <v/>
      </c>
      <c r="Q87" s="189">
        <f>+IFERROR(VLOOKUP(B87,[15]Income!$B$6:$E$1048576,2,0),0)</f>
        <v/>
      </c>
      <c r="R87" s="189">
        <f>+IFERROR(VLOOKUP(B87,'[16]3'!$B$5:$E$90,2,0),0)</f>
        <v/>
      </c>
      <c r="S87" s="189">
        <f>+IFERROR(VLOOKUP(B87,'[17]3'!$B$6:$E$1048576,2,0),0)</f>
        <v/>
      </c>
      <c r="T87" s="189">
        <f>+IFERROR(VLOOKUP(B87,'[18]2'!$B$5:$E$78,2,0),0)</f>
        <v/>
      </c>
      <c r="U87" s="189">
        <f>+IFERROR(VLOOKUP(B87,[19]Income!$B$6:$D$1048576,2,0),0)</f>
        <v/>
      </c>
      <c r="V87" s="189">
        <f>+IFERROR(VLOOKUP(B87,'[20]3'!$B$6:$E$1048576,2,0),0)</f>
        <v/>
      </c>
      <c r="W87" s="189">
        <f>+IFERROR(VLOOKUP(B87,'[21]Income '!$B$6:$D$1048576,2,0),0)</f>
        <v/>
      </c>
      <c r="X87" s="189">
        <f>+IFERROR(VLOOKUP(B87,'[22]3'!$B$6:$D$1048576,2,0),0)</f>
        <v/>
      </c>
      <c r="Y87" s="189">
        <f>+IFERROR(VLOOKUP(B87,[23]Лист4!$B$5:$C$78,2,0),0)</f>
        <v/>
      </c>
      <c r="Z87" s="189">
        <f>+IFERROR(VLOOKUP(B87,'[24]2'!$B$5:$C$78,2,0),0)</f>
        <v/>
      </c>
      <c r="AA87" s="189">
        <f>+IFERROR(VLOOKUP(B87,[25]Income!$B$5:$C$78,2,0),0)</f>
        <v/>
      </c>
      <c r="AB87" s="189">
        <f>+IFERROR(VLOOKUP(B87,'[26]3'!$B$6:$E$1048576,2,0),0)</f>
        <v/>
      </c>
      <c r="AC87" s="189">
        <f>+IFERROR(VLOOKUP(B87,'[27]3'!$B$6:$E$1048576,2,0),0)</f>
        <v/>
      </c>
      <c r="AD87" s="189">
        <f>+IFERROR(VLOOKUP(B87,'[28]3'!$B$6:$E$1048576,2,0),0)</f>
        <v/>
      </c>
      <c r="AE87" s="189">
        <f>+IFERROR(VLOOKUP(B87,[29]Лист2!$B$6:$E$1048576,2,0),0)</f>
        <v/>
      </c>
      <c r="AF87" s="189">
        <f>+IFERROR(VLOOKUP($B87,'[30]3'!$B$6:$E$1048576,2,0),0)</f>
        <v/>
      </c>
      <c r="AG87" s="190">
        <f>+IFERROR(VLOOKUP(B87,'[31]3'!$B$6:$D$1048576,2,0),0)</f>
        <v/>
      </c>
      <c r="AH87" s="291">
        <f>+IFERROR(VLOOKUP(B87,'[32]3-жадвал'!$B$6:$C$1048576,2,0),0)</f>
        <v/>
      </c>
      <c r="AI87" s="251">
        <f>+IFERROR(VLOOKUP(B87,[33]Income!$B$5:$C$78,2,0),0)</f>
        <v/>
      </c>
      <c r="AJ87" s="256">
        <f>+IFERROR(VLOOKUP(B87,[34]Income!$B$6:$D$1048576,2,0),0)</f>
        <v/>
      </c>
      <c r="AK87" s="256">
        <f>+IFERROR(VLOOKUP($B87,'[35]3'!$B$6:$D$1048576,2,0),0)</f>
        <v/>
      </c>
    </row>
    <row r="88" ht="25.5" customHeight="1">
      <c r="A88" s="113" t="inlineStr">
        <is>
          <t xml:space="preserve">   в.</t>
        </is>
      </c>
      <c r="B88" s="115" t="inlineStr">
        <is>
          <t>Минус: Инвестициялар бўйича кўрилиши мумкин бўлган зарарларни баҳолаш</t>
        </is>
      </c>
      <c r="C88" s="189">
        <f>+IFERROR(VLOOKUP(B88,[1]Лист2!$B$6:$E$1048576,2,0),0)</f>
        <v/>
      </c>
      <c r="D88" s="189">
        <f>+IFERROR(VLOOKUP(B88,'[2]3'!$B$6:$D$1048576,2,0),0)</f>
        <v/>
      </c>
      <c r="E88" s="190">
        <f>+IFERROR(VLOOKUP(B88,'[3]2'!$B$5:$C$77,2,0),0)</f>
        <v/>
      </c>
      <c r="F88" s="189">
        <f>+IFERROR(VLOOKUP(B88,'[4]Income '!$B$5:$E$77,2,0),0)</f>
        <v/>
      </c>
      <c r="G88" s="189">
        <f>+IFERROR(VLOOKUP(B88,'[5]3'!$B$6:$C$1048576,2,0),0)</f>
        <v/>
      </c>
      <c r="H88" s="189">
        <f>+IFERROR(VLOOKUP(B88,[6]Income!$B$6:$D$1048576,2,0),0)</f>
        <v/>
      </c>
      <c r="I88" s="189">
        <f>+IFERROR(VLOOKUP(B88,'[7]Income '!$B$6:$E$1048576,2,0),0)</f>
        <v/>
      </c>
      <c r="J88" s="189">
        <f>+IFERROR(VLOOKUP(B88,'[8]3'!$B$5:$C$77,2,0),0)</f>
        <v/>
      </c>
      <c r="K88" s="189">
        <f>+IFERROR(VLOOKUP(B88,'[9]3'!$B$6:$E$1048576,2,0),0)</f>
        <v/>
      </c>
      <c r="L88" s="189">
        <f>+IFERROR(VLOOKUP(B88,'[10]3'!$B$6:$E$1048576,2,0),0)</f>
        <v/>
      </c>
      <c r="M88" s="189">
        <f>+IFERROR(VLOOKUP(B88,'[11]3'!$B$6:$E$1048576,2,0),0)</f>
        <v/>
      </c>
      <c r="N88" s="189">
        <f>+IFERROR(VLOOKUP(B88,[12]Income!$B$6:$D$1048576,2,0),0)</f>
        <v/>
      </c>
      <c r="O88" s="189">
        <f>+IFERROR(VLOOKUP(B88,'[13]3 т'!$B$6:$C$1048576,2,0),0)</f>
        <v/>
      </c>
      <c r="P88" s="189">
        <f>+IFERROR(VLOOKUP(B88,[14]Income!$B$6:$D$1048576,2,0),0)</f>
        <v/>
      </c>
      <c r="Q88" s="189">
        <f>+IFERROR(VLOOKUP(B88,[15]Income!$B$6:$E$1048576,2,0),0)</f>
        <v/>
      </c>
      <c r="R88" s="189">
        <f>+IFERROR(VLOOKUP(B88,'[16]3'!$B$5:$E$90,2,0),0)</f>
        <v/>
      </c>
      <c r="S88" s="189">
        <f>+IFERROR(VLOOKUP(B88,'[17]3'!$B$6:$E$1048576,2,0),0)</f>
        <v/>
      </c>
      <c r="T88" s="189">
        <f>+IFERROR(VLOOKUP(B88,'[18]2'!$B$5:$E$78,2,0),0)</f>
        <v/>
      </c>
      <c r="U88" s="189">
        <f>+IFERROR(VLOOKUP(B88,[19]Income!$B$6:$D$1048576,2,0),0)</f>
        <v/>
      </c>
      <c r="V88" s="189">
        <f>+IFERROR(VLOOKUP(B88,'[20]3'!$B$6:$E$1048576,2,0),0)</f>
        <v/>
      </c>
      <c r="W88" s="189">
        <f>+IFERROR(VLOOKUP(B88,'[21]Income '!$B$6:$D$1048576,2,0),0)</f>
        <v/>
      </c>
      <c r="X88" s="189">
        <f>+IFERROR(VLOOKUP(B88,'[22]3'!$B$6:$D$1048576,2,0),0)</f>
        <v/>
      </c>
      <c r="Y88" s="189">
        <f>+IFERROR(VLOOKUP(B88,[23]Лист4!$B$5:$C$78,2,0),0)</f>
        <v/>
      </c>
      <c r="Z88" s="189">
        <f>+IFERROR(VLOOKUP(B88,'[24]2'!$B$5:$C$78,2,0),0)</f>
        <v/>
      </c>
      <c r="AA88" s="189">
        <f>+IFERROR(VLOOKUP(B88,[25]Income!$B$5:$C$78,2,0),0)</f>
        <v/>
      </c>
      <c r="AB88" s="189">
        <f>+IFERROR(VLOOKUP(B88,'[26]3'!$B$6:$E$1048576,2,0),0)</f>
        <v/>
      </c>
      <c r="AC88" s="189">
        <f>+IFERROR(VLOOKUP(B88,'[27]3'!$B$6:$E$1048576,2,0),0)</f>
        <v/>
      </c>
      <c r="AD88" s="189">
        <f>+IFERROR(VLOOKUP(B88,'[28]3'!$B$6:$E$1048576,2,0),0)</f>
        <v/>
      </c>
      <c r="AE88" s="189">
        <f>+IFERROR(VLOOKUP(B88,[29]Лист2!$B$6:$E$1048576,2,0),0)</f>
        <v/>
      </c>
      <c r="AF88" s="189">
        <f>+IFERROR(VLOOKUP($B88,'[30]3'!$B$6:$E$1048576,2,0),0)</f>
        <v/>
      </c>
      <c r="AG88" s="190">
        <f>+IFERROR(VLOOKUP(B88,'[31]3'!$B$6:$D$1048576,2,0),0)</f>
        <v/>
      </c>
      <c r="AH88" s="291">
        <f>+IFERROR(VLOOKUP(B88,'[32]3-жадвал'!$B$6:$C$1048576,2,0),0)</f>
        <v/>
      </c>
      <c r="AI88" s="251">
        <f>+IFERROR(VLOOKUP(B88,[33]Income!$B$5:$C$78,2,0),0)</f>
        <v/>
      </c>
      <c r="AJ88" s="256">
        <f>+IFERROR(VLOOKUP(B88,[34]Income!$B$6:$D$1048576,2,0),0)</f>
        <v/>
      </c>
      <c r="AK88" s="256">
        <f>+IFERROR(VLOOKUP($B88,'[35]3'!$B$6:$D$1048576,2,0),0)</f>
        <v/>
      </c>
    </row>
    <row r="89" ht="25.5" customHeight="1">
      <c r="A89" s="113" t="inlineStr">
        <is>
          <t xml:space="preserve">   г.</t>
        </is>
      </c>
      <c r="B89" s="115" t="inlineStr">
        <is>
          <t>Минус: Бошқа активлар бўйича кўрилиши мумкин бўлган зарарларни баҳолаш</t>
        </is>
      </c>
      <c r="C89" s="189">
        <f>+IFERROR(VLOOKUP(B89,[1]Лист2!$B$6:$E$1048576,2,0),0)</f>
        <v/>
      </c>
      <c r="D89" s="189">
        <f>+IFERROR(VLOOKUP(B89,'[2]3'!$B$6:$D$1048576,2,0),0)</f>
        <v/>
      </c>
      <c r="E89" s="190">
        <f>+IFERROR(VLOOKUP(B89,'[3]2'!$B$5:$C$77,2,0),0)</f>
        <v/>
      </c>
      <c r="F89" s="189">
        <f>+IFERROR(VLOOKUP(B89,'[4]Income '!$B$5:$E$77,2,0),0)</f>
        <v/>
      </c>
      <c r="G89" s="189">
        <f>+IFERROR(VLOOKUP(B89,'[5]3'!$B$6:$C$1048576,2,0),0)</f>
        <v/>
      </c>
      <c r="H89" s="189">
        <f>+IFERROR(VLOOKUP(B89,[6]Income!$B$6:$D$1048576,2,0),0)</f>
        <v/>
      </c>
      <c r="I89" s="189">
        <f>+IFERROR(VLOOKUP(B89,'[7]Income '!$B$6:$E$1048576,2,0),0)</f>
        <v/>
      </c>
      <c r="J89" s="189">
        <f>+IFERROR(VLOOKUP(B89,'[8]3'!$B$5:$C$77,2,0),0)</f>
        <v/>
      </c>
      <c r="K89" s="189">
        <f>+IFERROR(VLOOKUP(B89,'[9]3'!$B$6:$E$1048576,2,0),0)</f>
        <v/>
      </c>
      <c r="L89" s="189">
        <f>+IFERROR(VLOOKUP(B89,'[10]3'!$B$6:$E$1048576,2,0),0)</f>
        <v/>
      </c>
      <c r="M89" s="189">
        <f>+IFERROR(VLOOKUP(B89,'[11]3'!$B$6:$E$1048576,2,0),0)</f>
        <v/>
      </c>
      <c r="N89" s="189">
        <f>+IFERROR(VLOOKUP(B89,[12]Income!$B$6:$D$1048576,2,0),0)</f>
        <v/>
      </c>
      <c r="O89" s="189">
        <f>+IFERROR(VLOOKUP(B89,'[13]3 т'!$B$6:$C$1048576,2,0),0)</f>
        <v/>
      </c>
      <c r="P89" s="189">
        <f>+IFERROR(VLOOKUP(B89,[14]Income!$B$6:$D$1048576,2,0),0)</f>
        <v/>
      </c>
      <c r="Q89" s="189">
        <f>+IFERROR(VLOOKUP(B89,[15]Income!$B$6:$E$1048576,2,0),0)</f>
        <v/>
      </c>
      <c r="R89" s="189">
        <f>+IFERROR(VLOOKUP(B89,'[16]3'!$B$5:$E$90,2,0),0)</f>
        <v/>
      </c>
      <c r="S89" s="189">
        <f>+IFERROR(VLOOKUP(B89,'[17]3'!$B$6:$E$1048576,2,0),0)</f>
        <v/>
      </c>
      <c r="T89" s="189">
        <f>+IFERROR(VLOOKUP(B89,'[18]2'!$B$5:$E$78,2,0),0)</f>
        <v/>
      </c>
      <c r="U89" s="189">
        <f>+IFERROR(VLOOKUP(B89,[19]Income!$B$6:$D$1048576,2,0),0)</f>
        <v/>
      </c>
      <c r="V89" s="189">
        <f>+IFERROR(VLOOKUP(B89,'[20]3'!$B$6:$E$1048576,2,0),0)</f>
        <v/>
      </c>
      <c r="W89" s="189">
        <f>+IFERROR(VLOOKUP(B89,'[21]Income '!$B$6:$D$1048576,2,0),0)</f>
        <v/>
      </c>
      <c r="X89" s="189">
        <f>+IFERROR(VLOOKUP(B89,'[22]3'!$B$6:$D$1048576,2,0),0)</f>
        <v/>
      </c>
      <c r="Y89" s="189">
        <f>+IFERROR(VLOOKUP(B89,[23]Лист4!$B$5:$C$78,2,0),0)</f>
        <v/>
      </c>
      <c r="Z89" s="189">
        <f>+IFERROR(VLOOKUP(B89,'[24]2'!$B$5:$C$78,2,0),0)</f>
        <v/>
      </c>
      <c r="AA89" s="189">
        <f>+IFERROR(VLOOKUP(B89,[25]Income!$B$5:$C$78,2,0),0)</f>
        <v/>
      </c>
      <c r="AB89" s="189">
        <f>+IFERROR(VLOOKUP(B89,'[26]3'!$B$6:$E$1048576,2,0),0)</f>
        <v/>
      </c>
      <c r="AC89" s="189">
        <f>+IFERROR(VLOOKUP(B89,'[27]3'!$B$6:$E$1048576,2,0),0)</f>
        <v/>
      </c>
      <c r="AD89" s="189">
        <f>+IFERROR(VLOOKUP(B89,'[28]3'!$B$6:$E$1048576,2,0),0)</f>
        <v/>
      </c>
      <c r="AE89" s="189">
        <f>+IFERROR(VLOOKUP(B89,[29]Лист2!$B$6:$E$1048576,2,0),0)</f>
        <v/>
      </c>
      <c r="AF89" s="189">
        <f>+IFERROR(VLOOKUP($B89,'[30]3'!$B$6:$E$1048576,2,0),0)</f>
        <v/>
      </c>
      <c r="AG89" s="190">
        <f>+IFERROR(VLOOKUP(B89,'[31]3'!$B$6:$D$1048576,2,0),0)</f>
        <v/>
      </c>
      <c r="AH89" s="291">
        <f>+IFERROR(VLOOKUP(B89,'[32]3-жадвал'!$B$6:$C$1048576,2,0),0)</f>
        <v/>
      </c>
      <c r="AI89" s="251">
        <f>+IFERROR(VLOOKUP(B89,[33]Income!$B$5:$C$78,2,0),0)</f>
        <v/>
      </c>
      <c r="AJ89" s="256">
        <f>+IFERROR(VLOOKUP(B89,[34]Income!$B$6:$D$1048576,2,0),0)</f>
        <v/>
      </c>
      <c r="AK89" s="256">
        <f>+IFERROR(VLOOKUP($B89,'[35]3'!$B$6:$D$1048576,2,0),0)</f>
        <v/>
      </c>
    </row>
    <row r="90">
      <c r="A90" s="109" t="n">
        <v>4</v>
      </c>
      <c r="B90" s="192" t="inlineStr">
        <is>
          <t>Жами фоизсиз даромадлар</t>
        </is>
      </c>
      <c r="C90" s="189">
        <f>+IFERROR(VLOOKUP(B90,[1]Лист2!$B$6:$E$1048576,2,0),0)</f>
        <v/>
      </c>
      <c r="D90" s="189">
        <f>+IFERROR(VLOOKUP(B90,'[2]3'!$B$6:$D$1048576,2,0),0)</f>
        <v/>
      </c>
      <c r="E90" s="190">
        <f>+IFERROR(VLOOKUP(B90,'[3]2'!$B$5:$C$77,2,0),0)</f>
        <v/>
      </c>
      <c r="F90" s="189">
        <f>+IFERROR(VLOOKUP(B90,'[4]Income '!$B$5:$E$77,2,0),0)</f>
        <v/>
      </c>
      <c r="G90" s="189">
        <f>+IFERROR(VLOOKUP(B90,'[5]3'!$B$6:$C$1048576,2,0),0)</f>
        <v/>
      </c>
      <c r="H90" s="189">
        <f>+IFERROR(VLOOKUP(B90,[6]Income!$B$6:$D$1048576,2,0),0)</f>
        <v/>
      </c>
      <c r="I90" s="189">
        <f>+IFERROR(VLOOKUP(B90,'[7]Income '!$B$6:$E$1048576,2,0),0)</f>
        <v/>
      </c>
      <c r="J90" s="189">
        <f>+IFERROR(VLOOKUP(B90,'[8]3'!$B$5:$C$77,2,0),0)</f>
        <v/>
      </c>
      <c r="K90" s="189">
        <f>+IFERROR(VLOOKUP(B90,'[9]3'!$B$6:$E$1048576,2,0),0)</f>
        <v/>
      </c>
      <c r="L90" s="189">
        <f>+IFERROR(VLOOKUP(B90,'[10]3'!$B$6:$E$1048576,2,0),0)</f>
        <v/>
      </c>
      <c r="M90" s="189">
        <f>+IFERROR(VLOOKUP(B90,'[11]3'!$B$6:$E$1048576,2,0),0)</f>
        <v/>
      </c>
      <c r="N90" s="189">
        <f>+IFERROR(VLOOKUP(B90,[12]Income!$B$6:$D$1048576,2,0),0)</f>
        <v/>
      </c>
      <c r="O90" s="189">
        <f>+IFERROR(VLOOKUP(B90,'[13]3 т'!$B$6:$C$1048576,2,0),0)</f>
        <v/>
      </c>
      <c r="P90" s="189">
        <f>+IFERROR(VLOOKUP(B90,[14]Income!$B$6:$D$1048576,2,0),0)</f>
        <v/>
      </c>
      <c r="Q90" s="189">
        <f>+IFERROR(VLOOKUP(B90,[15]Income!$B$6:$E$1048576,2,0),0)</f>
        <v/>
      </c>
      <c r="R90" s="189">
        <f>+IFERROR(VLOOKUP(B90,'[16]3'!$B$5:$E$90,2,0),0)</f>
        <v/>
      </c>
      <c r="S90" s="189">
        <f>+IFERROR(VLOOKUP(B90,'[17]3'!$B$6:$E$1048576,2,0),0)</f>
        <v/>
      </c>
      <c r="T90" s="189">
        <f>+IFERROR(VLOOKUP(B90,'[18]2'!$B$5:$E$78,2,0),0)</f>
        <v/>
      </c>
      <c r="U90" s="189">
        <f>+IFERROR(VLOOKUP(B90,[19]Income!$B$6:$D$1048576,2,0),0)</f>
        <v/>
      </c>
      <c r="V90" s="189">
        <f>+IFERROR(VLOOKUP(B90,'[20]3'!$B$6:$E$1048576,2,0),0)</f>
        <v/>
      </c>
      <c r="W90" s="189">
        <f>+IFERROR(VLOOKUP(B90,'[21]Income '!$B$6:$D$1048576,2,0),0)</f>
        <v/>
      </c>
      <c r="X90" s="189">
        <f>+IFERROR(VLOOKUP(B90,'[22]3'!$B$6:$D$1048576,2,0),0)</f>
        <v/>
      </c>
      <c r="Y90" s="189">
        <f>+IFERROR(VLOOKUP(B90,[23]Лист4!$B$5:$C$78,2,0),0)</f>
        <v/>
      </c>
      <c r="Z90" s="189">
        <f>+IFERROR(VLOOKUP(B90,'[24]2'!$B$5:$C$78,2,0),0)</f>
        <v/>
      </c>
      <c r="AA90" s="189">
        <f>+IFERROR(VLOOKUP(B90,[25]Income!$B$5:$C$78,2,0),0)</f>
        <v/>
      </c>
      <c r="AB90" s="189">
        <f>+IFERROR(VLOOKUP(B90,'[26]3'!$B$6:$E$1048576,2,0),0)</f>
        <v/>
      </c>
      <c r="AC90" s="189">
        <f>+IFERROR(VLOOKUP(B90,'[27]3'!$B$6:$E$1048576,2,0),0)</f>
        <v/>
      </c>
      <c r="AD90" s="189">
        <f>+IFERROR(VLOOKUP(B90,'[28]3'!$B$6:$E$1048576,2,0),0)</f>
        <v/>
      </c>
      <c r="AE90" s="189">
        <f>+IFERROR(VLOOKUP(B90,[29]Лист2!$B$6:$E$1048576,2,0),0)</f>
        <v/>
      </c>
      <c r="AF90" s="189">
        <f>+IFERROR(VLOOKUP($B90,'[30]3'!$B$6:$E$1048576,2,0),0)</f>
        <v/>
      </c>
      <c r="AG90" s="190">
        <f>+IFERROR(VLOOKUP(B90,'[31]3'!$B$6:$D$1048576,2,0),0)</f>
        <v/>
      </c>
      <c r="AH90" s="291">
        <f>+IFERROR(VLOOKUP(B90,'[32]3-жадвал'!$B$6:$C$1048576,2,0),0)</f>
        <v/>
      </c>
      <c r="AI90" s="251">
        <f>+IFERROR(VLOOKUP(B90,[33]Income!$B$5:$C$78,2,0),0)</f>
        <v/>
      </c>
      <c r="AJ90" s="256">
        <f>+IFERROR(VLOOKUP(B90,[34]Income!$B$6:$D$1048576,2,0),0)</f>
        <v/>
      </c>
      <c r="AK90" s="256">
        <f>+IFERROR(VLOOKUP($B90,'[35]3'!$B$6:$D$1048576,2,0),0)</f>
        <v/>
      </c>
    </row>
    <row r="91">
      <c r="A91" s="109" t="n">
        <v>5</v>
      </c>
      <c r="B91" s="192" t="inlineStr">
        <is>
          <t>Жами фоизсиз харажатлар</t>
        </is>
      </c>
      <c r="C91" s="189">
        <f>+IFERROR(VLOOKUP(B91,[1]Лист2!$B$6:$E$1048576,2,0),0)</f>
        <v/>
      </c>
      <c r="D91" s="189">
        <f>+IFERROR(VLOOKUP(B91,'[2]3'!$B$6:$D$1048576,2,0),0)</f>
        <v/>
      </c>
      <c r="E91" s="190">
        <f>+IFERROR(VLOOKUP(B91,'[3]2'!$B$5:$C$77,2,0),0)</f>
        <v/>
      </c>
      <c r="F91" s="189">
        <f>+IFERROR(VLOOKUP(B91,'[4]Income '!$B$5:$E$77,2,0),0)</f>
        <v/>
      </c>
      <c r="G91" s="189">
        <f>+IFERROR(VLOOKUP(B91,'[5]3'!$B$6:$C$1048576,2,0),0)</f>
        <v/>
      </c>
      <c r="H91" s="189">
        <f>+IFERROR(VLOOKUP(B91,[6]Income!$B$6:$D$1048576,2,0),0)</f>
        <v/>
      </c>
      <c r="I91" s="189">
        <f>+IFERROR(VLOOKUP(B91,'[7]Income '!$B$6:$E$1048576,2,0),0)</f>
        <v/>
      </c>
      <c r="J91" s="189">
        <f>+IFERROR(VLOOKUP(B91,'[8]3'!$B$5:$C$77,2,0),0)</f>
        <v/>
      </c>
      <c r="K91" s="189">
        <f>+IFERROR(VLOOKUP(B91,'[9]3'!$B$6:$E$1048576,2,0),0)</f>
        <v/>
      </c>
      <c r="L91" s="189">
        <f>+IFERROR(VLOOKUP(B91,'[10]3'!$B$6:$E$1048576,2,0),0)</f>
        <v/>
      </c>
      <c r="M91" s="189">
        <f>+IFERROR(VLOOKUP(B91,'[11]3'!$B$6:$E$1048576,2,0),0)</f>
        <v/>
      </c>
      <c r="N91" s="189">
        <f>+IFERROR(VLOOKUP(B91,[12]Income!$B$6:$D$1048576,2,0),0)</f>
        <v/>
      </c>
      <c r="O91" s="189">
        <f>+IFERROR(VLOOKUP(B91,'[13]3 т'!$B$6:$C$1048576,2,0),0)</f>
        <v/>
      </c>
      <c r="P91" s="189">
        <f>+IFERROR(VLOOKUP(B91,[14]Income!$B$6:$D$1048576,2,0),0)</f>
        <v/>
      </c>
      <c r="Q91" s="189">
        <f>+IFERROR(VLOOKUP(B91,[15]Income!$B$6:$E$1048576,2,0),0)</f>
        <v/>
      </c>
      <c r="R91" s="189">
        <f>+IFERROR(VLOOKUP(B91,'[16]3'!$B$5:$E$90,2,0),0)</f>
        <v/>
      </c>
      <c r="S91" s="189">
        <f>+IFERROR(VLOOKUP(B91,'[17]3'!$B$6:$E$1048576,2,0),0)</f>
        <v/>
      </c>
      <c r="T91" s="189">
        <f>+IFERROR(VLOOKUP(B91,'[18]2'!$B$5:$E$78,2,0),0)</f>
        <v/>
      </c>
      <c r="U91" s="189">
        <f>+IFERROR(VLOOKUP(B91,[19]Income!$B$6:$D$1048576,2,0),0)</f>
        <v/>
      </c>
      <c r="V91" s="189">
        <f>+IFERROR(VLOOKUP(B91,'[20]3'!$B$6:$E$1048576,2,0),0)</f>
        <v/>
      </c>
      <c r="W91" s="189">
        <f>+IFERROR(VLOOKUP(B91,'[21]Income '!$B$6:$D$1048576,2,0),0)</f>
        <v/>
      </c>
      <c r="X91" s="189">
        <f>+IFERROR(VLOOKUP(B91,'[22]3'!$B$6:$D$1048576,2,0),0)</f>
        <v/>
      </c>
      <c r="Y91" s="189">
        <f>+IFERROR(VLOOKUP(B91,[23]Лист4!$B$5:$C$78,2,0),0)</f>
        <v/>
      </c>
      <c r="Z91" s="189">
        <f>+IFERROR(VLOOKUP(B91,'[24]2'!$B$5:$C$78,2,0),0)</f>
        <v/>
      </c>
      <c r="AA91" s="189">
        <f>+IFERROR(VLOOKUP(B91,[25]Income!$B$5:$C$78,2,0),0)</f>
        <v/>
      </c>
      <c r="AB91" s="189">
        <f>+IFERROR(VLOOKUP(B91,'[26]3'!$B$6:$E$1048576,2,0),0)</f>
        <v/>
      </c>
      <c r="AC91" s="189">
        <f>+IFERROR(VLOOKUP(B91,'[27]3'!$B$6:$E$1048576,2,0),0)</f>
        <v/>
      </c>
      <c r="AD91" s="189">
        <f>+IFERROR(VLOOKUP(B91,'[28]3'!$B$6:$E$1048576,2,0),0)</f>
        <v/>
      </c>
      <c r="AE91" s="189">
        <f>+IFERROR(VLOOKUP(B91,[29]Лист2!$B$6:$E$1048576,2,0),0)</f>
        <v/>
      </c>
      <c r="AF91" s="189">
        <f>+IFERROR(VLOOKUP($B91,'[30]3'!$B$6:$E$1048576,2,0),0)</f>
        <v/>
      </c>
      <c r="AG91" s="190">
        <f>+IFERROR(VLOOKUP(B91,'[31]3'!$B$6:$D$1048576,2,0),0)</f>
        <v/>
      </c>
      <c r="AH91" s="291">
        <f>+IFERROR(VLOOKUP(B91,'[32]3-жадвал'!$B$6:$C$1048576,2,0),0)</f>
        <v/>
      </c>
      <c r="AI91" s="251">
        <f>+IFERROR(VLOOKUP(B91,[33]Income!$B$5:$C$78,2,0),0)</f>
        <v/>
      </c>
      <c r="AJ91" s="256">
        <f>+IFERROR(VLOOKUP(B91,[34]Income!$B$6:$D$1048576,2,0),0)</f>
        <v/>
      </c>
      <c r="AK91" s="256">
        <f>+IFERROR(VLOOKUP($B91,'[35]3'!$B$6:$D$1048576,2,0),0)</f>
        <v/>
      </c>
    </row>
    <row r="92">
      <c r="A92" s="109" t="n">
        <v>6</v>
      </c>
      <c r="B92" s="192" t="inlineStr">
        <is>
          <t>Жами операцион харажатлар</t>
        </is>
      </c>
      <c r="C92" s="189">
        <f>+IFERROR(VLOOKUP(B92,[1]Лист2!$B$6:$E$1048576,2,0),0)</f>
        <v/>
      </c>
      <c r="D92" s="189">
        <f>+IFERROR(VLOOKUP(B92,'[2]3'!$B$6:$D$1048576,2,0),0)</f>
        <v/>
      </c>
      <c r="E92" s="190">
        <f>+IFERROR(VLOOKUP(B92,'[3]2'!$B$5:$C$77,2,0),0)</f>
        <v/>
      </c>
      <c r="F92" s="189">
        <f>+IFERROR(VLOOKUP(B92,'[4]Income '!$B$5:$E$77,2,0),0)</f>
        <v/>
      </c>
      <c r="G92" s="189">
        <f>+IFERROR(VLOOKUP(B92,'[5]3'!$B$6:$C$1048576,2,0),0)</f>
        <v/>
      </c>
      <c r="H92" s="189">
        <f>+IFERROR(VLOOKUP(B92,[6]Income!$B$6:$D$1048576,2,0),0)</f>
        <v/>
      </c>
      <c r="I92" s="189">
        <f>+IFERROR(VLOOKUP(B92,'[7]Income '!$B$6:$E$1048576,2,0),0)</f>
        <v/>
      </c>
      <c r="J92" s="189">
        <f>+IFERROR(VLOOKUP(B92,'[8]3'!$B$5:$C$77,2,0),0)</f>
        <v/>
      </c>
      <c r="K92" s="189">
        <f>+IFERROR(VLOOKUP(B92,'[9]3'!$B$6:$E$1048576,2,0),0)</f>
        <v/>
      </c>
      <c r="L92" s="189">
        <f>+IFERROR(VLOOKUP(B92,'[10]3'!$B$6:$E$1048576,2,0),0)</f>
        <v/>
      </c>
      <c r="M92" s="189">
        <f>+IFERROR(VLOOKUP(B92,'[11]3'!$B$6:$E$1048576,2,0),0)</f>
        <v/>
      </c>
      <c r="N92" s="189">
        <f>+IFERROR(VLOOKUP(B92,[12]Income!$B$6:$D$1048576,2,0),0)</f>
        <v/>
      </c>
      <c r="O92" s="189">
        <f>+IFERROR(VLOOKUP(B92,'[13]3 т'!$B$6:$C$1048576,2,0),0)</f>
        <v/>
      </c>
      <c r="P92" s="189">
        <f>+IFERROR(VLOOKUP(B92,[14]Income!$B$6:$D$1048576,2,0),0)</f>
        <v/>
      </c>
      <c r="Q92" s="189">
        <f>+IFERROR(VLOOKUP(B92,[15]Income!$B$6:$E$1048576,2,0),0)</f>
        <v/>
      </c>
      <c r="R92" s="189">
        <f>+IFERROR(VLOOKUP(B92,'[16]3'!$B$5:$E$90,2,0),0)</f>
        <v/>
      </c>
      <c r="S92" s="189">
        <f>+IFERROR(VLOOKUP(B92,'[17]3'!$B$6:$E$1048576,2,0),0)</f>
        <v/>
      </c>
      <c r="T92" s="189">
        <f>+IFERROR(VLOOKUP(B92,'[18]2'!$B$5:$E$78,2,0),0)</f>
        <v/>
      </c>
      <c r="U92" s="189">
        <f>+IFERROR(VLOOKUP(B92,[19]Income!$B$6:$D$1048576,2,0),0)</f>
        <v/>
      </c>
      <c r="V92" s="189">
        <f>+IFERROR(VLOOKUP(B92,'[20]3'!$B$6:$E$1048576,2,0),0)</f>
        <v/>
      </c>
      <c r="W92" s="189">
        <f>+IFERROR(VLOOKUP(B92,'[21]Income '!$B$6:$D$1048576,2,0),0)</f>
        <v/>
      </c>
      <c r="X92" s="189">
        <f>+IFERROR(VLOOKUP(B92,'[22]3'!$B$6:$D$1048576,2,0),0)</f>
        <v/>
      </c>
      <c r="Y92" s="189">
        <f>+IFERROR(VLOOKUP(B92,[23]Лист4!$B$5:$C$78,2,0),0)</f>
        <v/>
      </c>
      <c r="Z92" s="189">
        <f>+IFERROR(VLOOKUP(B92,'[24]2'!$B$5:$C$78,2,0),0)</f>
        <v/>
      </c>
      <c r="AA92" s="189">
        <f>+IFERROR(VLOOKUP(B92,[25]Income!$B$5:$C$78,2,0),0)</f>
        <v/>
      </c>
      <c r="AB92" s="189">
        <f>+IFERROR(VLOOKUP(B92,'[26]3'!$B$6:$E$1048576,2,0),0)</f>
        <v/>
      </c>
      <c r="AC92" s="189">
        <f>+IFERROR(VLOOKUP(B92,'[27]3'!$B$6:$E$1048576,2,0),0)</f>
        <v/>
      </c>
      <c r="AD92" s="189">
        <f>+IFERROR(VLOOKUP(B92,'[28]3'!$B$6:$E$1048576,2,0),0)</f>
        <v/>
      </c>
      <c r="AE92" s="189">
        <f>+IFERROR(VLOOKUP(B92,[29]Лист2!$B$6:$E$1048576,2,0),0)</f>
        <v/>
      </c>
      <c r="AF92" s="189">
        <f>+IFERROR(VLOOKUP($B92,'[30]3'!$B$6:$E$1048576,2,0),0)</f>
        <v/>
      </c>
      <c r="AG92" s="190">
        <f>+IFERROR(VLOOKUP(B92,'[31]3'!$B$6:$D$1048576,2,0),0)</f>
        <v/>
      </c>
      <c r="AH92" s="291">
        <f>+IFERROR(VLOOKUP(B92,'[32]3-жадвал'!$B$6:$C$1048576,2,0),0)</f>
        <v/>
      </c>
      <c r="AI92" s="251">
        <f>+IFERROR(VLOOKUP(B92,[33]Income!$B$5:$C$78,2,0),0)</f>
        <v/>
      </c>
      <c r="AJ92" s="256">
        <f>+IFERROR(VLOOKUP(B92,[34]Income!$B$6:$D$1048576,2,0),0)</f>
        <v/>
      </c>
      <c r="AK92" s="256">
        <f>+IFERROR(VLOOKUP($B92,'[35]3'!$B$6:$D$1048576,2,0),0)</f>
        <v/>
      </c>
    </row>
    <row r="93">
      <c r="A93" s="109" t="n">
        <v>7</v>
      </c>
      <c r="B93" s="89" t="inlineStr">
        <is>
          <t>Фойда солиғини баҳолаш</t>
        </is>
      </c>
      <c r="C93" s="189">
        <f>+IFERROR(VLOOKUP(B93,[1]Лист2!$B$6:$E$1048576,2,0),0)</f>
        <v/>
      </c>
      <c r="D93" s="189">
        <f>+IFERROR(VLOOKUP(B93,'[2]3'!$B$6:$D$1048576,2,0),0)</f>
        <v/>
      </c>
      <c r="E93" s="190">
        <f>+IFERROR(VLOOKUP(B93,'[3]2'!$B$5:$C$77,2,0),0)</f>
        <v/>
      </c>
      <c r="F93" s="189">
        <f>+IFERROR(VLOOKUP(B93,'[4]Income '!$B$5:$E$77,2,0),0)</f>
        <v/>
      </c>
      <c r="G93" s="189">
        <f>+IFERROR(VLOOKUP(B93,'[5]3'!$B$6:$C$1048576,2,0),0)</f>
        <v/>
      </c>
      <c r="H93" s="189">
        <f>+IFERROR(VLOOKUP(B93,[6]Income!$B$6:$D$1048576,2,0),0)</f>
        <v/>
      </c>
      <c r="I93" s="189">
        <f>+IFERROR(VLOOKUP(B93,'[7]Income '!$B$6:$E$1048576,2,0),0)</f>
        <v/>
      </c>
      <c r="J93" s="189">
        <f>+IFERROR(VLOOKUP(B93,'[8]3'!$B$5:$C$77,2,0),0)</f>
        <v/>
      </c>
      <c r="K93" s="189">
        <f>+IFERROR(VLOOKUP(B93,'[9]3'!$B$6:$E$1048576,2,0),0)</f>
        <v/>
      </c>
      <c r="L93" s="189">
        <f>+IFERROR(VLOOKUP(B93,'[10]3'!$B$6:$E$1048576,2,0),0)</f>
        <v/>
      </c>
      <c r="M93" s="189">
        <f>+IFERROR(VLOOKUP(B93,'[11]3'!$B$6:$E$1048576,2,0),0)</f>
        <v/>
      </c>
      <c r="N93" s="189">
        <f>+IFERROR(VLOOKUP(B93,[12]Income!$B$6:$D$1048576,2,0),0)</f>
        <v/>
      </c>
      <c r="O93" s="189">
        <f>+IFERROR(VLOOKUP(B93,'[13]3 т'!$B$6:$C$1048576,2,0),0)</f>
        <v/>
      </c>
      <c r="P93" s="189">
        <f>+IFERROR(VLOOKUP(B93,[14]Income!$B$6:$D$1048576,2,0),0)</f>
        <v/>
      </c>
      <c r="Q93" s="189">
        <f>+IFERROR(VLOOKUP(B93,[15]Income!$B$6:$E$1048576,2,0),0)</f>
        <v/>
      </c>
      <c r="R93" s="189">
        <f>+IFERROR(VLOOKUP(B93,'[16]3'!$B$5:$E$90,2,0),0)</f>
        <v/>
      </c>
      <c r="S93" s="189">
        <f>+IFERROR(VLOOKUP(B93,'[17]3'!$B$6:$E$1048576,2,0),0)</f>
        <v/>
      </c>
      <c r="T93" s="189">
        <f>+IFERROR(VLOOKUP(B93,'[18]2'!$B$5:$E$78,2,0),0)</f>
        <v/>
      </c>
      <c r="U93" s="189">
        <f>+IFERROR(VLOOKUP(B93,[19]Income!$B$6:$D$1048576,2,0),0)</f>
        <v/>
      </c>
      <c r="V93" s="189">
        <f>+IFERROR(VLOOKUP(B93,'[20]3'!$B$6:$E$1048576,2,0),0)</f>
        <v/>
      </c>
      <c r="W93" s="189">
        <f>+IFERROR(VLOOKUP(B93,'[21]Income '!$B$6:$D$1048576,2,0),0)</f>
        <v/>
      </c>
      <c r="X93" s="189">
        <f>+IFERROR(VLOOKUP(B93,'[22]3'!$B$6:$D$1048576,2,0),0)</f>
        <v/>
      </c>
      <c r="Y93" s="189">
        <f>+IFERROR(VLOOKUP(B93,[23]Лист4!$B$5:$C$78,2,0),0)</f>
        <v/>
      </c>
      <c r="Z93" s="189">
        <f>+IFERROR(VLOOKUP(B93,'[24]2'!$B$5:$C$78,2,0),0)</f>
        <v/>
      </c>
      <c r="AA93" s="189">
        <f>+IFERROR(VLOOKUP(B93,[25]Income!$B$5:$C$78,2,0),0)</f>
        <v/>
      </c>
      <c r="AB93" s="189">
        <f>+IFERROR(VLOOKUP(B93,'[26]3'!$B$6:$E$1048576,2,0),0)</f>
        <v/>
      </c>
      <c r="AC93" s="189">
        <f>+IFERROR(VLOOKUP(B93,'[27]3'!$B$6:$E$1048576,2,0),0)</f>
        <v/>
      </c>
      <c r="AD93" s="189">
        <f>+IFERROR(VLOOKUP(B93,'[28]3'!$B$6:$E$1048576,2,0),0)</f>
        <v/>
      </c>
      <c r="AE93" s="189">
        <f>+IFERROR(VLOOKUP(B93,[29]Лист2!$B$6:$E$1048576,2,0),0)</f>
        <v/>
      </c>
      <c r="AF93" s="189">
        <f>+IFERROR(VLOOKUP($B93,'[30]3'!$B$6:$E$1048576,2,0),0)</f>
        <v/>
      </c>
      <c r="AG93" s="190">
        <f>+IFERROR(VLOOKUP(B93,'[31]3'!$B$6:$D$1048576,2,0),0)</f>
        <v/>
      </c>
      <c r="AH93" s="291">
        <f>+IFERROR(VLOOKUP(B93,'[32]3-жадвал'!$B$6:$C$1048576,2,0),0)</f>
        <v/>
      </c>
      <c r="AI93" s="251">
        <f>+IFERROR(VLOOKUP(B93,[33]Income!$B$5:$C$78,2,0),0)</f>
        <v/>
      </c>
      <c r="AJ93" s="256">
        <f>+IFERROR(VLOOKUP(B93,[34]Income!$B$6:$D$1048576,2,0),0)</f>
        <v/>
      </c>
      <c r="AK93" s="256">
        <f>+IFERROR(VLOOKUP($B93,'[35]3'!$B$6:$D$1048576,2,0),0)</f>
        <v/>
      </c>
    </row>
    <row r="94" ht="12.75" customHeight="1">
      <c r="A94" s="109" t="n">
        <v>8</v>
      </c>
      <c r="B94" s="192" t="inlineStr">
        <is>
          <t>ТУЗАТИШЛАР КИРИТИЛГУНГА ҚАДАР ДАРОМАД</t>
        </is>
      </c>
      <c r="C94" s="189">
        <f>+IFERROR(VLOOKUP(B94,[1]Лист2!$B$6:$E$1048576,2,0),0)</f>
        <v/>
      </c>
      <c r="D94" s="189">
        <f>+IFERROR(VLOOKUP(B94,'[2]3'!$B$6:$D$1048576,2,0),0)</f>
        <v/>
      </c>
      <c r="E94" s="190">
        <f>+IFERROR(VLOOKUP(B94,'[3]2'!$B$5:$C$77,2,0),0)</f>
        <v/>
      </c>
      <c r="F94" s="189">
        <f>+IFERROR(VLOOKUP(B94,'[4]Income '!$B$5:$E$77,2,0),0)</f>
        <v/>
      </c>
      <c r="G94" s="189">
        <f>+IFERROR(VLOOKUP(B94,'[5]3'!$B$6:$C$1048576,2,0),0)</f>
        <v/>
      </c>
      <c r="H94" s="189">
        <f>+IFERROR(VLOOKUP(B94,[6]Income!$B$6:$D$1048576,2,0),0)</f>
        <v/>
      </c>
      <c r="I94" s="189">
        <f>+IFERROR(VLOOKUP(B94,'[7]Income '!$B$6:$E$1048576,2,0),0)</f>
        <v/>
      </c>
      <c r="J94" s="189">
        <f>+IFERROR(VLOOKUP(B94,'[8]3'!$B$5:$C$77,2,0),0)</f>
        <v/>
      </c>
      <c r="K94" s="189">
        <f>+IFERROR(VLOOKUP(B94,'[9]3'!$B$6:$E$1048576,2,0),0)</f>
        <v/>
      </c>
      <c r="L94" s="189">
        <f>+IFERROR(VLOOKUP(B94,'[10]3'!$B$6:$E$1048576,2,0),0)</f>
        <v/>
      </c>
      <c r="M94" s="189">
        <f>+IFERROR(VLOOKUP(B94,'[11]3'!$B$6:$E$1048576,2,0),0)</f>
        <v/>
      </c>
      <c r="N94" s="189">
        <f>+IFERROR(VLOOKUP(B94,[12]Income!$B$6:$D$1048576,2,0),0)</f>
        <v/>
      </c>
      <c r="O94" s="189">
        <f>+IFERROR(VLOOKUP(B94,'[13]3 т'!$B$6:$C$1048576,2,0),0)</f>
        <v/>
      </c>
      <c r="P94" s="189">
        <f>+IFERROR(VLOOKUP(B94,[14]Income!$B$6:$D$1048576,2,0),0)</f>
        <v/>
      </c>
      <c r="Q94" s="189">
        <f>+IFERROR(VLOOKUP(B94,[15]Income!$B$6:$E$1048576,2,0),0)</f>
        <v/>
      </c>
      <c r="R94" s="189">
        <f>+IFERROR(VLOOKUP(B94,'[16]3'!$B$5:$E$90,2,0),0)</f>
        <v/>
      </c>
      <c r="S94" s="189">
        <f>+IFERROR(VLOOKUP(B94,'[17]3'!$B$6:$E$1048576,2,0),0)</f>
        <v/>
      </c>
      <c r="T94" s="189">
        <f>+IFERROR(VLOOKUP(B94,'[18]2'!$B$5:$E$78,2,0),0)</f>
        <v/>
      </c>
      <c r="U94" s="189">
        <f>+IFERROR(VLOOKUP(B94,[19]Income!$B$6:$D$1048576,2,0),0)</f>
        <v/>
      </c>
      <c r="V94" s="189">
        <f>+IFERROR(VLOOKUP(B94,'[20]3'!$B$6:$E$1048576,2,0),0)</f>
        <v/>
      </c>
      <c r="W94" s="189">
        <f>+IFERROR(VLOOKUP(B94,'[21]Income '!$B$6:$D$1048576,2,0),0)</f>
        <v/>
      </c>
      <c r="X94" s="189">
        <f>+IFERROR(VLOOKUP(B94,'[22]3'!$B$6:$D$1048576,2,0),0)</f>
        <v/>
      </c>
      <c r="Y94" s="189">
        <f>+IFERROR(VLOOKUP(B94,[23]Лист4!$B$5:$C$78,2,0),0)</f>
        <v/>
      </c>
      <c r="Z94" s="189">
        <f>+IFERROR(VLOOKUP(B94,'[24]2'!$B$5:$C$78,2,0),0)</f>
        <v/>
      </c>
      <c r="AA94" s="189">
        <f>+IFERROR(VLOOKUP(B94,[25]Income!$B$5:$C$78,2,0),0)</f>
        <v/>
      </c>
      <c r="AB94" s="189">
        <f>+IFERROR(VLOOKUP(B94,'[26]3'!$B$6:$E$1048576,2,0),0)</f>
        <v/>
      </c>
      <c r="AC94" s="189">
        <f>+IFERROR(VLOOKUP(B94,'[27]3'!$B$6:$E$1048576,2,0),0)</f>
        <v/>
      </c>
      <c r="AD94" s="189">
        <f>+IFERROR(VLOOKUP(B94,'[28]3'!$B$6:$E$1048576,2,0),0)</f>
        <v/>
      </c>
      <c r="AE94" s="189">
        <f>+IFERROR(VLOOKUP(B94,[29]Лист2!$B$6:$E$1048576,2,0),0)</f>
        <v/>
      </c>
      <c r="AF94" s="189">
        <f>+IFERROR(VLOOKUP($B94,'[30]3'!$B$6:$E$1048576,2,0),0)</f>
        <v/>
      </c>
      <c r="AG94" s="190">
        <f>+IFERROR(VLOOKUP(B94,'[31]3'!$B$6:$D$1048576,2,0),0)</f>
        <v/>
      </c>
      <c r="AH94" s="291">
        <f>+IFERROR(VLOOKUP(B94,'[32]3-жадвал'!$B$6:$C$1048576,2,0),0)</f>
        <v/>
      </c>
      <c r="AI94" s="251">
        <f>+IFERROR(VLOOKUP(B94,[33]Income!$B$5:$C$78,2,0),0)</f>
        <v/>
      </c>
      <c r="AJ94" s="256">
        <f>+IFERROR(VLOOKUP(B94,[34]Income!$B$6:$D$1048576,2,0),0)</f>
        <v/>
      </c>
      <c r="AK94" s="256">
        <f>+IFERROR(VLOOKUP($B94,'[35]3'!$B$6:$D$1048576,2,0),0)</f>
        <v/>
      </c>
    </row>
    <row r="95" ht="17.25" customHeight="1">
      <c r="A95" s="109" t="n">
        <v>9</v>
      </c>
      <c r="B95" s="192" t="inlineStr">
        <is>
          <t>СОФ ФОЙДА (ЗАРАР)</t>
        </is>
      </c>
      <c r="C95" s="189">
        <f>+IFERROR(VLOOKUP(B95,[1]Лист2!$B$6:$E$1048576,2,0),0)</f>
        <v/>
      </c>
      <c r="D95" s="189">
        <f>+IFERROR(VLOOKUP(B95,'[2]3'!$B$6:$D$1048576,2,0),0)</f>
        <v/>
      </c>
      <c r="E95" s="190">
        <f>+IFERROR(VLOOKUP(B95,'[3]2'!$B$5:$C$77,2,0),0)</f>
        <v/>
      </c>
      <c r="F95" s="189">
        <f>+IFERROR(VLOOKUP(B95,'[4]Income '!$B$5:$E$77,2,0),0)</f>
        <v/>
      </c>
      <c r="G95" s="189">
        <f>+IFERROR(VLOOKUP(B95,'[5]3'!$B$6:$C$1048576,2,0),0)</f>
        <v/>
      </c>
      <c r="H95" s="189">
        <f>+IFERROR(VLOOKUP(B95,[6]Income!$B$6:$D$1048576,2,0),0)</f>
        <v/>
      </c>
      <c r="I95" s="189">
        <f>+IFERROR(VLOOKUP(B95,'[7]Income '!$B$6:$E$1048576,2,0),0)</f>
        <v/>
      </c>
      <c r="J95" s="189">
        <f>+IFERROR(VLOOKUP(B95,'[8]3'!$B$5:$C$77,2,0),0)</f>
        <v/>
      </c>
      <c r="K95" s="189">
        <f>+IFERROR(VLOOKUP(B95,'[9]3'!$B$6:$E$1048576,2,0),0)</f>
        <v/>
      </c>
      <c r="L95" s="189">
        <f>+IFERROR(VLOOKUP(B95,'[10]3'!$B$6:$E$1048576,2,0),0)</f>
        <v/>
      </c>
      <c r="M95" s="189">
        <f>+IFERROR(VLOOKUP(B95,'[11]3'!$B$6:$E$1048576,2,0),0)</f>
        <v/>
      </c>
      <c r="N95" s="189">
        <f>+IFERROR(VLOOKUP(B95,[12]Income!$B$6:$D$1048576,2,0),0)</f>
        <v/>
      </c>
      <c r="O95" s="189">
        <f>+IFERROR(VLOOKUP(B95,'[13]3 т'!$B$6:$C$1048576,2,0),0)</f>
        <v/>
      </c>
      <c r="P95" s="189">
        <f>+IFERROR(VLOOKUP(B95,[14]Income!$B$6:$D$1048576,2,0),0)</f>
        <v/>
      </c>
      <c r="Q95" s="189">
        <f>+IFERROR(VLOOKUP(B95,[15]Income!$B$6:$E$1048576,2,0),0)</f>
        <v/>
      </c>
      <c r="R95" s="189">
        <f>+IFERROR(VLOOKUP(B95,'[16]3'!$B$5:$E$90,2,0),0)</f>
        <v/>
      </c>
      <c r="S95" s="189">
        <f>+IFERROR(VLOOKUP(B95,'[17]3'!$B$6:$E$1048576,2,0),0)</f>
        <v/>
      </c>
      <c r="T95" s="189">
        <f>+IFERROR(VLOOKUP(B95,'[18]2'!$B$5:$E$78,2,0),0)</f>
        <v/>
      </c>
      <c r="U95" s="189">
        <f>+IFERROR(VLOOKUP(B95,[19]Income!$B$6:$D$1048576,2,0),0)</f>
        <v/>
      </c>
      <c r="V95" s="189">
        <f>+IFERROR(VLOOKUP(B95,'[20]3'!$B$6:$E$1048576,2,0),0)</f>
        <v/>
      </c>
      <c r="W95" s="189">
        <f>+IFERROR(VLOOKUP(B95,'[21]Income '!$B$6:$D$1048576,2,0),0)</f>
        <v/>
      </c>
      <c r="X95" s="189">
        <f>+IFERROR(VLOOKUP(B95,'[22]3'!$B$6:$D$1048576,2,0),0)</f>
        <v/>
      </c>
      <c r="Y95" s="189">
        <f>+IFERROR(VLOOKUP(B95,[23]Лист4!$B$5:$C$78,2,0),0)</f>
        <v/>
      </c>
      <c r="Z95" s="189">
        <f>+IFERROR(VLOOKUP(B95,'[24]2'!$B$5:$C$78,2,0),0)</f>
        <v/>
      </c>
      <c r="AA95" s="189">
        <f>+IFERROR(VLOOKUP(B95,[25]Income!$B$5:$C$78,2,0),0)</f>
        <v/>
      </c>
      <c r="AB95" s="189">
        <f>+IFERROR(VLOOKUP(B95,'[26]3'!$B$6:$E$1048576,2,0),0)</f>
        <v/>
      </c>
      <c r="AC95" s="189">
        <f>+IFERROR(VLOOKUP(B95,'[27]3'!$B$6:$E$1048576,2,0),0)</f>
        <v/>
      </c>
      <c r="AD95" s="189">
        <f>+IFERROR(VLOOKUP(B95,'[28]3'!$B$6:$E$1048576,2,0),0)</f>
        <v/>
      </c>
      <c r="AE95" s="189">
        <f>+IFERROR(VLOOKUP(B95,[29]Лист2!$B$6:$E$1048576,2,0),0)</f>
        <v/>
      </c>
      <c r="AF95" s="189">
        <f>+IFERROR(VLOOKUP($B95,'[30]3'!$B$6:$E$1048576,2,0),0)</f>
        <v/>
      </c>
      <c r="AG95" s="190">
        <f>+IFERROR(VLOOKUP(B95,'[31]3'!$B$6:$D$1048576,2,0),0)</f>
        <v/>
      </c>
      <c r="AH95" s="291">
        <f>+IFERROR(VLOOKUP(B95,'[32]3-жадвал'!$B$6:$C$1048576,2,0),0)</f>
        <v/>
      </c>
      <c r="AI95" s="251">
        <f>+IFERROR(VLOOKUP(B95,[33]Income!$B$5:$C$78,2,0),0)</f>
        <v/>
      </c>
      <c r="AJ95" s="256">
        <f>+IFERROR(VLOOKUP(B95,[34]Income!$B$6:$D$1048576,2,0),0)</f>
        <v/>
      </c>
      <c r="AK95" s="256">
        <f>+IFERROR(VLOOKUP($B95,'[35]3'!$B$6:$D$1048576,2,0),0)</f>
        <v/>
      </c>
    </row>
    <row r="96" ht="17.25" customHeight="1">
      <c r="A96" s="116" t="n"/>
      <c r="B96" s="107" t="inlineStr">
        <is>
          <t>Капитал монандлиги</t>
        </is>
      </c>
      <c r="C96" s="193" t="n"/>
      <c r="D96" s="193" t="n"/>
      <c r="E96" s="186" t="n"/>
      <c r="F96" s="193" t="n"/>
      <c r="G96" s="193" t="n"/>
      <c r="H96" s="193" t="n"/>
      <c r="I96" s="193" t="n"/>
      <c r="J96" s="193" t="n"/>
      <c r="K96" s="193" t="n"/>
      <c r="L96" s="193" t="n"/>
      <c r="M96" s="193" t="n"/>
      <c r="N96" s="193" t="n"/>
      <c r="O96" s="193" t="n"/>
      <c r="P96" s="193" t="n"/>
      <c r="Q96" s="193" t="n"/>
      <c r="R96" s="193" t="n"/>
      <c r="S96" s="193" t="n"/>
      <c r="T96" s="193" t="n"/>
      <c r="U96" s="193" t="n"/>
      <c r="V96" s="193" t="n"/>
      <c r="W96" s="193" t="n"/>
      <c r="X96" s="193" t="n"/>
      <c r="Y96" s="193" t="n"/>
      <c r="Z96" s="193" t="n"/>
      <c r="AA96" s="193" t="n"/>
      <c r="AB96" s="193" t="n"/>
      <c r="AC96" s="193" t="n"/>
      <c r="AD96" s="193" t="n"/>
      <c r="AE96" s="193" t="n"/>
      <c r="AF96" s="193" t="n"/>
      <c r="AG96" s="194" t="n"/>
      <c r="AH96" s="292" t="n"/>
      <c r="AI96" s="252" t="n"/>
      <c r="AJ96" s="257" t="n"/>
      <c r="AK96" s="257" t="n"/>
    </row>
    <row r="97" ht="33" customHeight="1">
      <c r="A97" s="109" t="n">
        <v>1</v>
      </c>
      <c r="B97" s="117" t="inlineStr">
        <is>
          <t>Регулятив капиталнинг монандлик коэффициенти</t>
        </is>
      </c>
      <c r="C97" s="164">
        <f>+[1]Лист5!$I$7</f>
        <v/>
      </c>
      <c r="D97" s="164">
        <f>+'[2]22'!$I$7</f>
        <v/>
      </c>
      <c r="E97" s="164">
        <f>+'[3]5'!$I$7</f>
        <v/>
      </c>
      <c r="F97" s="164">
        <f>+'[4]Economic Normatives'!$I$7</f>
        <v/>
      </c>
      <c r="G97" s="164">
        <f>+'[5]22'!$I$7</f>
        <v/>
      </c>
      <c r="H97" s="164">
        <f>+'[6]Economic Normatives'!$I$7</f>
        <v/>
      </c>
      <c r="I97" s="164">
        <f>+'[7]Economic Normatives'!$I$7</f>
        <v/>
      </c>
      <c r="J97" s="164">
        <f>+'[8]22'!$I$7</f>
        <v/>
      </c>
      <c r="K97" s="164">
        <f>+'[9]22'!$I$7</f>
        <v/>
      </c>
      <c r="L97" s="164">
        <f>+'[10]22'!$I$7</f>
        <v/>
      </c>
      <c r="M97" s="164">
        <f>+'[11]22'!$I$7</f>
        <v/>
      </c>
      <c r="N97" s="164">
        <f>+'[12]Economic Normatives'!$I$7</f>
        <v/>
      </c>
      <c r="O97" s="164">
        <f>+'[13]22 т'!$I$7</f>
        <v/>
      </c>
      <c r="P97" s="164">
        <f>+'[14]Economic Normatives'!$I$7</f>
        <v/>
      </c>
      <c r="Q97" s="164">
        <f>+'[15]Economic Normatives'!$I$7</f>
        <v/>
      </c>
      <c r="R97" s="164">
        <f>+'[16]22'!$I$7</f>
        <v/>
      </c>
      <c r="S97" s="164">
        <f>+'[17]22'!$I$7</f>
        <v/>
      </c>
      <c r="T97" s="164">
        <f>+'[18]5'!$I$7</f>
        <v/>
      </c>
      <c r="U97" s="164">
        <f>+'[19]Economic normatives'!$I$7</f>
        <v/>
      </c>
      <c r="V97" s="164">
        <f>+'[20]22'!$I$7</f>
        <v/>
      </c>
      <c r="W97" s="164">
        <f>+'[21]Economic Normatives'!$I$7</f>
        <v/>
      </c>
      <c r="X97" s="164">
        <f>+'[22]22'!$I$7</f>
        <v/>
      </c>
      <c r="Y97" s="164">
        <f>+[23]Лист5!$I$7</f>
        <v/>
      </c>
      <c r="Z97" s="164">
        <f>+'[24]5'!$I$7</f>
        <v/>
      </c>
      <c r="AA97" s="164">
        <f>+'[25]Economic Normatives'!$I$7</f>
        <v/>
      </c>
      <c r="AB97" s="164">
        <f>+'[26]22'!$I$7</f>
        <v/>
      </c>
      <c r="AC97" s="164">
        <f>+'[27]22'!$I$7</f>
        <v/>
      </c>
      <c r="AD97" s="164">
        <f>+'[28]22'!$I$7</f>
        <v/>
      </c>
      <c r="AE97" s="164">
        <f>+[29]Лист5!$I$7</f>
        <v/>
      </c>
      <c r="AF97" s="164">
        <f>+'[30]22'!$I$7</f>
        <v/>
      </c>
      <c r="AG97" s="164">
        <f>+'[31]22'!$I$7</f>
        <v/>
      </c>
      <c r="AH97" s="164">
        <f>+'[32]22-жадвал'!$I$7</f>
        <v/>
      </c>
      <c r="AI97" s="253">
        <f>+[33]Normatives!$I$7</f>
        <v/>
      </c>
      <c r="AJ97" s="164">
        <f>+'[34]Economic Normatives'!$I$7</f>
        <v/>
      </c>
      <c r="AK97" s="164">
        <f>+'[35]22'!$I$7</f>
        <v/>
      </c>
    </row>
    <row r="98" ht="33" customHeight="1">
      <c r="A98" s="109" t="n">
        <v>2</v>
      </c>
      <c r="B98" s="117" t="inlineStr">
        <is>
          <t>I даражали капиталнинг монандлик коэффициенти</t>
        </is>
      </c>
      <c r="C98" s="164">
        <f>+[1]Лист5!$I$9</f>
        <v/>
      </c>
      <c r="D98" s="164">
        <f>+'[2]22'!$I$9</f>
        <v/>
      </c>
      <c r="E98" s="164">
        <f>+'[3]5'!$I$9</f>
        <v/>
      </c>
      <c r="F98" s="164">
        <f>+'[4]Economic Normatives'!$I$9</f>
        <v/>
      </c>
      <c r="G98" s="164">
        <f>+'[5]22'!$I$9</f>
        <v/>
      </c>
      <c r="H98" s="164">
        <f>+'[6]Economic Normatives'!$I$9</f>
        <v/>
      </c>
      <c r="I98" s="164">
        <f>+'[7]Economic Normatives'!$I$9</f>
        <v/>
      </c>
      <c r="J98" s="164">
        <f>+'[8]22'!$I$9</f>
        <v/>
      </c>
      <c r="K98" s="164">
        <f>+'[9]22'!$I$9</f>
        <v/>
      </c>
      <c r="L98" s="164">
        <f>+'[10]22'!$I$9</f>
        <v/>
      </c>
      <c r="M98" s="164">
        <f>+'[11]22'!$I$9</f>
        <v/>
      </c>
      <c r="N98" s="164">
        <f>+'[12]Economic Normatives'!$I$9</f>
        <v/>
      </c>
      <c r="O98" s="164">
        <f>+'[13]22 т'!$I$9</f>
        <v/>
      </c>
      <c r="P98" s="164">
        <f>+'[14]Economic Normatives'!$I$9</f>
        <v/>
      </c>
      <c r="Q98" s="164">
        <f>+'[15]Economic Normatives'!$I$9</f>
        <v/>
      </c>
      <c r="R98" s="164">
        <f>+'[16]22'!$I$9</f>
        <v/>
      </c>
      <c r="S98" s="164">
        <f>+'[17]22'!$I$9</f>
        <v/>
      </c>
      <c r="T98" s="164">
        <f>+'[18]5'!$I$9</f>
        <v/>
      </c>
      <c r="U98" s="164">
        <f>+'[19]Economic normatives'!$I$9</f>
        <v/>
      </c>
      <c r="V98" s="164">
        <f>+'[20]22'!$I$9</f>
        <v/>
      </c>
      <c r="W98" s="164">
        <f>+'[21]Economic Normatives'!$I$9</f>
        <v/>
      </c>
      <c r="X98" s="164">
        <f>+'[22]22'!$I$9</f>
        <v/>
      </c>
      <c r="Y98" s="164">
        <f>+[23]Лист5!$I$9</f>
        <v/>
      </c>
      <c r="Z98" s="164">
        <f>+'[24]5'!$I$9</f>
        <v/>
      </c>
      <c r="AA98" s="164">
        <f>+'[25]Economic Normatives'!$I$9</f>
        <v/>
      </c>
      <c r="AB98" s="164">
        <f>+'[26]22'!$I$9</f>
        <v/>
      </c>
      <c r="AC98" s="164">
        <f>+'[27]22'!$I$9</f>
        <v/>
      </c>
      <c r="AD98" s="164">
        <f>+'[28]22'!$I$9</f>
        <v/>
      </c>
      <c r="AE98" s="164">
        <f>+[29]Лист5!$I$9</f>
        <v/>
      </c>
      <c r="AF98" s="164">
        <f>+'[30]22'!$I$9</f>
        <v/>
      </c>
      <c r="AG98" s="164">
        <f>+'[31]22'!$I$9</f>
        <v/>
      </c>
      <c r="AH98" s="164">
        <f>+'[32]22-жадвал'!$I$9</f>
        <v/>
      </c>
      <c r="AI98" s="253">
        <f>+[33]Normatives!$I$9</f>
        <v/>
      </c>
      <c r="AJ98" s="164">
        <f>+'[34]Economic Normatives'!$I$9</f>
        <v/>
      </c>
      <c r="AK98" s="164">
        <f>+'[35]22'!$I$9</f>
        <v/>
      </c>
    </row>
    <row r="99" ht="33" customFormat="1" customHeight="1" s="210">
      <c r="A99" s="122" t="n">
        <v>3</v>
      </c>
      <c r="B99" s="117" t="inlineStr">
        <is>
          <t>I даражали асосий капиталнинг монандлик коэффициенти</t>
        </is>
      </c>
      <c r="C99" s="164">
        <f>+[1]Лист5!$I$11</f>
        <v/>
      </c>
      <c r="D99" s="164">
        <f>+'[2]22'!$I$11</f>
        <v/>
      </c>
      <c r="E99" s="164">
        <f>+'[3]5'!$I$11</f>
        <v/>
      </c>
      <c r="F99" s="164">
        <f>+'[4]Economic Normatives'!$I$11</f>
        <v/>
      </c>
      <c r="G99" s="164">
        <f>+'[5]22'!$I$11</f>
        <v/>
      </c>
      <c r="H99" s="164">
        <f>+'[6]Economic Normatives'!$I$11</f>
        <v/>
      </c>
      <c r="I99" s="164">
        <f>+'[7]Economic Normatives'!$I$11</f>
        <v/>
      </c>
      <c r="J99" s="164">
        <f>+'[8]22'!$I$11</f>
        <v/>
      </c>
      <c r="K99" s="164">
        <f>+'[9]22'!$I$11</f>
        <v/>
      </c>
      <c r="L99" s="164">
        <f>+'[10]22'!$I$11</f>
        <v/>
      </c>
      <c r="M99" s="164">
        <f>+'[11]22'!$I$11</f>
        <v/>
      </c>
      <c r="N99" s="164">
        <f>+'[12]Economic Normatives'!$I$11</f>
        <v/>
      </c>
      <c r="O99" s="164">
        <f>+'[13]22 т'!$I$11</f>
        <v/>
      </c>
      <c r="P99" s="164">
        <f>+'[14]Economic Normatives'!$I$11</f>
        <v/>
      </c>
      <c r="Q99" s="164">
        <f>+'[15]Economic Normatives'!$I$11</f>
        <v/>
      </c>
      <c r="R99" s="164">
        <f>+'[16]22'!$I$11</f>
        <v/>
      </c>
      <c r="S99" s="164">
        <f>+'[17]22'!$I$11</f>
        <v/>
      </c>
      <c r="T99" s="164">
        <f>+'[18]5'!$I$11</f>
        <v/>
      </c>
      <c r="U99" s="164">
        <f>+'[19]Economic normatives'!$I$11</f>
        <v/>
      </c>
      <c r="V99" s="164">
        <f>+'[20]22'!$I$11</f>
        <v/>
      </c>
      <c r="W99" s="164">
        <f>+'[21]Economic Normatives'!$I$11</f>
        <v/>
      </c>
      <c r="X99" s="164">
        <f>+'[22]22'!$I$11</f>
        <v/>
      </c>
      <c r="Y99" s="164">
        <f>+[23]Лист5!$I$11</f>
        <v/>
      </c>
      <c r="Z99" s="164">
        <f>+'[24]5'!$I$11</f>
        <v/>
      </c>
      <c r="AA99" s="164">
        <f>+'[25]Economic Normatives'!$I$11</f>
        <v/>
      </c>
      <c r="AB99" s="164">
        <f>+'[26]22'!$I$11</f>
        <v/>
      </c>
      <c r="AC99" s="164">
        <f>+'[27]22'!$I$11</f>
        <v/>
      </c>
      <c r="AD99" s="164">
        <f>+'[28]22'!$I$11</f>
        <v/>
      </c>
      <c r="AE99" s="164">
        <f>+[29]Лист5!$I$11</f>
        <v/>
      </c>
      <c r="AF99" s="164">
        <f>+'[30]22'!$I$11</f>
        <v/>
      </c>
      <c r="AG99" s="164">
        <f>+'[31]22'!$I$11</f>
        <v/>
      </c>
      <c r="AH99" s="164">
        <f>+'[32]22-жадвал'!$I$11</f>
        <v/>
      </c>
      <c r="AI99" s="253">
        <f>+[33]Normatives!$I$11</f>
        <v/>
      </c>
      <c r="AJ99" s="164">
        <f>+'[34]Economic Normatives'!$I$11</f>
        <v/>
      </c>
      <c r="AK99" s="164">
        <f>+'[35]22'!$I$11</f>
        <v/>
      </c>
      <c r="AY99" s="168" t="n"/>
    </row>
    <row r="100" ht="33" customFormat="1" customHeight="1" s="210">
      <c r="A100" s="122" t="n">
        <v>4</v>
      </c>
      <c r="B100" s="163" t="inlineStr">
        <is>
          <t>Левераж</t>
        </is>
      </c>
      <c r="C100" s="164">
        <f>+[1]Лист5!$I$13</f>
        <v/>
      </c>
      <c r="D100" s="164">
        <f>+'[2]22'!$I$13</f>
        <v/>
      </c>
      <c r="E100" s="164">
        <f>+'[3]5'!$I$13</f>
        <v/>
      </c>
      <c r="F100" s="164">
        <f>+'[4]Economic Normatives'!$I$13</f>
        <v/>
      </c>
      <c r="G100" s="164">
        <f>+'[5]22'!$I$13</f>
        <v/>
      </c>
      <c r="H100" s="164">
        <f>+'[6]Economic Normatives'!$I$13</f>
        <v/>
      </c>
      <c r="I100" s="164">
        <f>+'[7]Economic Normatives'!$I$13</f>
        <v/>
      </c>
      <c r="J100" s="164">
        <f>+'[8]22'!$I$13</f>
        <v/>
      </c>
      <c r="K100" s="164">
        <f>+'[9]22'!$I$13</f>
        <v/>
      </c>
      <c r="L100" s="164">
        <f>+'[10]22'!$I$13</f>
        <v/>
      </c>
      <c r="M100" s="164">
        <f>+'[11]22'!$I$13</f>
        <v/>
      </c>
      <c r="N100" s="164">
        <f>+'[12]Economic Normatives'!$I$13</f>
        <v/>
      </c>
      <c r="O100" s="164">
        <f>+'[13]22 т'!$I$13</f>
        <v/>
      </c>
      <c r="P100" s="164">
        <f>+'[14]Economic Normatives'!$I$13</f>
        <v/>
      </c>
      <c r="Q100" s="164">
        <f>+'[15]Economic Normatives'!$I$13</f>
        <v/>
      </c>
      <c r="R100" s="164">
        <f>+'[16]22'!$I$13</f>
        <v/>
      </c>
      <c r="S100" s="164">
        <f>+'[17]22'!$I$13</f>
        <v/>
      </c>
      <c r="T100" s="164">
        <f>+'[18]5'!$I$13</f>
        <v/>
      </c>
      <c r="U100" s="164">
        <f>+'[19]Economic normatives'!$I$13</f>
        <v/>
      </c>
      <c r="V100" s="164">
        <f>+'[20]22'!$I$13</f>
        <v/>
      </c>
      <c r="W100" s="164">
        <f>+'[21]Economic Normatives'!$I$13</f>
        <v/>
      </c>
      <c r="X100" s="164">
        <f>+'[22]22'!$I$13</f>
        <v/>
      </c>
      <c r="Y100" s="164">
        <f>+[23]Лист5!$I$13</f>
        <v/>
      </c>
      <c r="Z100" s="164">
        <f>+'[24]5'!$I$13</f>
        <v/>
      </c>
      <c r="AA100" s="164">
        <f>+'[25]Economic Normatives'!$I$13</f>
        <v/>
      </c>
      <c r="AB100" s="164">
        <f>+'[26]22'!$I$13</f>
        <v/>
      </c>
      <c r="AC100" s="164">
        <f>+'[27]22'!$I$13</f>
        <v/>
      </c>
      <c r="AD100" s="164">
        <f>+'[28]22'!$I$13</f>
        <v/>
      </c>
      <c r="AE100" s="164">
        <f>+[29]Лист5!$I$13</f>
        <v/>
      </c>
      <c r="AF100" s="164">
        <f>+'[30]22'!$I$13</f>
        <v/>
      </c>
      <c r="AG100" s="164">
        <f>+'[31]22'!$I$13</f>
        <v/>
      </c>
      <c r="AH100" s="164">
        <f>+'[32]22-жадвал'!$I$13</f>
        <v/>
      </c>
      <c r="AI100" s="253">
        <f>+[33]Normatives!$I$13</f>
        <v/>
      </c>
      <c r="AJ100" s="164">
        <f>+'[34]Economic Normatives'!$I$13</f>
        <v/>
      </c>
      <c r="AK100" s="164">
        <f>+'[35]22'!$I$13</f>
        <v/>
      </c>
      <c r="AY100" s="168" t="n"/>
    </row>
    <row r="101" ht="17.25" customHeight="1">
      <c r="A101" s="116" t="n"/>
      <c r="B101" s="107" t="inlineStr">
        <is>
          <t>Ликвидлилик кўрсаткичлари</t>
        </is>
      </c>
      <c r="C101" s="193" t="n"/>
      <c r="D101" s="193" t="n"/>
      <c r="E101" s="186" t="n"/>
      <c r="F101" s="193" t="n"/>
      <c r="G101" s="193" t="n"/>
      <c r="H101" s="193" t="n"/>
      <c r="I101" s="193" t="n"/>
      <c r="J101" s="193" t="n"/>
      <c r="K101" s="193" t="n"/>
      <c r="L101" s="193" t="n"/>
      <c r="M101" s="193" t="n"/>
      <c r="N101" s="193" t="n"/>
      <c r="O101" s="193" t="n"/>
      <c r="P101" s="193" t="n"/>
      <c r="Q101" s="193" t="n"/>
      <c r="R101" s="193" t="n"/>
      <c r="S101" s="193" t="n"/>
      <c r="T101" s="193" t="n"/>
      <c r="U101" s="193" t="n"/>
      <c r="V101" s="193" t="n"/>
      <c r="W101" s="193" t="n"/>
      <c r="X101" s="193" t="n"/>
      <c r="Y101" s="193" t="n"/>
      <c r="Z101" s="193" t="n"/>
      <c r="AA101" s="193" t="n"/>
      <c r="AB101" s="193" t="n"/>
      <c r="AC101" s="193" t="n"/>
      <c r="AD101" s="193" t="n"/>
      <c r="AE101" s="193" t="n"/>
      <c r="AF101" s="193" t="n"/>
      <c r="AG101" s="194" t="n"/>
      <c r="AH101" s="292" t="n"/>
      <c r="AI101" s="252" t="n"/>
      <c r="AJ101" s="257" t="n"/>
      <c r="AK101" s="257" t="n"/>
    </row>
    <row r="102" ht="33" customHeight="1">
      <c r="A102" s="109" t="n">
        <v>1</v>
      </c>
      <c r="B102" s="117" t="inlineStr">
        <is>
          <t>Юқори ликвидли активларнинг жами активлардаги улуши</t>
        </is>
      </c>
      <c r="C102" s="164">
        <f>+[1]Лист5!$I$16</f>
        <v/>
      </c>
      <c r="D102" s="164">
        <f>+'[2]22'!$I$16</f>
        <v/>
      </c>
      <c r="E102" s="164">
        <f>+'[3]5'!$I$16</f>
        <v/>
      </c>
      <c r="F102" s="164">
        <f>+'[4]Economic Normatives'!$I$16</f>
        <v/>
      </c>
      <c r="G102" s="164">
        <f>+'[5]22'!$I$16</f>
        <v/>
      </c>
      <c r="H102" s="164">
        <f>+'[6]Economic Normatives'!$I$16</f>
        <v/>
      </c>
      <c r="I102" s="164">
        <f>+'[7]Economic Normatives'!$I$16</f>
        <v/>
      </c>
      <c r="J102" s="164">
        <f>+'[8]22'!$I$16</f>
        <v/>
      </c>
      <c r="K102" s="164">
        <f>+'[9]22'!$I$16</f>
        <v/>
      </c>
      <c r="L102" s="164">
        <f>+'[10]22'!$I$16</f>
        <v/>
      </c>
      <c r="M102" s="164">
        <f>+'[11]22'!$I$16</f>
        <v/>
      </c>
      <c r="N102" s="164">
        <f>+'[12]Economic Normatives'!$I$16</f>
        <v/>
      </c>
      <c r="O102" s="164">
        <f>+'[13]22 т'!$I$16</f>
        <v/>
      </c>
      <c r="P102" s="164">
        <f>+'[14]Economic Normatives'!$I$16</f>
        <v/>
      </c>
      <c r="Q102" s="164">
        <f>+'[15]Economic Normatives'!$I$16</f>
        <v/>
      </c>
      <c r="R102" s="164">
        <f>+'[16]22'!$I$16</f>
        <v/>
      </c>
      <c r="S102" s="164">
        <f>+'[17]22'!$I$16</f>
        <v/>
      </c>
      <c r="T102" s="164">
        <f>+'[18]5'!$I$16</f>
        <v/>
      </c>
      <c r="U102" s="164">
        <f>+'[19]Economic normatives'!$I$16</f>
        <v/>
      </c>
      <c r="V102" s="164">
        <f>+'[20]22'!$I$16</f>
        <v/>
      </c>
      <c r="W102" s="164">
        <f>+'[21]Economic Normatives'!$I$16</f>
        <v/>
      </c>
      <c r="X102" s="164">
        <f>+'[22]22'!$I$16</f>
        <v/>
      </c>
      <c r="Y102" s="164">
        <f>+[23]Лист5!$I$16</f>
        <v/>
      </c>
      <c r="Z102" s="164">
        <f>+'[24]5'!$I$16</f>
        <v/>
      </c>
      <c r="AA102" s="164">
        <f>+'[25]Economic Normatives'!$I$16</f>
        <v/>
      </c>
      <c r="AB102" s="164">
        <f>+'[26]22'!$I$16</f>
        <v/>
      </c>
      <c r="AC102" s="164">
        <f>+'[27]22'!$I$16</f>
        <v/>
      </c>
      <c r="AD102" s="164">
        <f>+'[28]22'!$I$16</f>
        <v/>
      </c>
      <c r="AE102" s="164">
        <f>+[29]Лист5!$I$16</f>
        <v/>
      </c>
      <c r="AF102" s="164">
        <f>+'[30]22'!$I$16</f>
        <v/>
      </c>
      <c r="AG102" s="164">
        <f>+'[31]22'!$I$16</f>
        <v/>
      </c>
      <c r="AH102" s="164">
        <f>+'[32]22-жадвал'!$I$16</f>
        <v/>
      </c>
      <c r="AI102" s="253">
        <f>+[33]Normatives!$I$16</f>
        <v/>
      </c>
      <c r="AJ102" s="164">
        <f>+'[34]Economic Normatives'!$I$16</f>
        <v/>
      </c>
      <c r="AK102" s="164">
        <f>+'[35]22'!$I$16</f>
        <v/>
      </c>
    </row>
    <row r="103" ht="33" customHeight="1">
      <c r="A103" s="109" t="n">
        <v>2</v>
      </c>
      <c r="B103" s="117" t="inlineStr">
        <is>
          <t>Ликвидликни қоплаш меъёри</t>
        </is>
      </c>
      <c r="C103" s="164">
        <f>+[1]Лист5!$I$18</f>
        <v/>
      </c>
      <c r="D103" s="164">
        <f>+'[2]22'!$I$18</f>
        <v/>
      </c>
      <c r="E103" s="164">
        <f>+'[3]5'!$I$18</f>
        <v/>
      </c>
      <c r="F103" s="164">
        <f>+'[4]Economic Normatives'!$I$18</f>
        <v/>
      </c>
      <c r="G103" s="164">
        <f>+'[5]22'!$I$18</f>
        <v/>
      </c>
      <c r="H103" s="164">
        <f>+'[6]Economic Normatives'!$I$18</f>
        <v/>
      </c>
      <c r="I103" s="164">
        <f>+'[7]Economic Normatives'!$I$18</f>
        <v/>
      </c>
      <c r="J103" s="164">
        <f>+'[8]22'!$I$18</f>
        <v/>
      </c>
      <c r="K103" s="164">
        <f>+'[9]22'!$I$18</f>
        <v/>
      </c>
      <c r="L103" s="164">
        <f>+'[10]22'!$I$18</f>
        <v/>
      </c>
      <c r="M103" s="164">
        <f>+'[11]22'!$I$18</f>
        <v/>
      </c>
      <c r="N103" s="164">
        <f>+'[12]Economic Normatives'!$I$18</f>
        <v/>
      </c>
      <c r="O103" s="164">
        <f>+'[13]22 т'!$I$18</f>
        <v/>
      </c>
      <c r="P103" s="164">
        <f>+'[14]Economic Normatives'!$I$18</f>
        <v/>
      </c>
      <c r="Q103" s="164">
        <f>+'[15]Economic Normatives'!$I$18</f>
        <v/>
      </c>
      <c r="R103" s="164">
        <f>+'[16]22'!$I$18</f>
        <v/>
      </c>
      <c r="S103" s="164">
        <f>+'[17]22'!$I$18</f>
        <v/>
      </c>
      <c r="T103" s="164">
        <f>+'[18]5'!$I$18</f>
        <v/>
      </c>
      <c r="U103" s="164">
        <f>+'[19]Economic normatives'!$I$18</f>
        <v/>
      </c>
      <c r="V103" s="164">
        <f>+'[20]22'!$I$18</f>
        <v/>
      </c>
      <c r="W103" s="164">
        <f>+'[21]Economic Normatives'!$I$18</f>
        <v/>
      </c>
      <c r="X103" s="164">
        <f>+'[22]22'!$I$18</f>
        <v/>
      </c>
      <c r="Y103" s="164">
        <f>+[23]Лист5!$I$18</f>
        <v/>
      </c>
      <c r="Z103" s="164">
        <f>+'[24]5'!$I$18</f>
        <v/>
      </c>
      <c r="AA103" s="164">
        <f>+'[25]Economic Normatives'!$I$18</f>
        <v/>
      </c>
      <c r="AB103" s="164">
        <f>+'[26]22'!$I$18</f>
        <v/>
      </c>
      <c r="AC103" s="164">
        <f>+'[27]22'!$I$18</f>
        <v/>
      </c>
      <c r="AD103" s="164">
        <f>+'[28]22'!$I$18</f>
        <v/>
      </c>
      <c r="AE103" s="164">
        <f>+[29]Лист5!$I$18</f>
        <v/>
      </c>
      <c r="AF103" s="164">
        <f>+'[30]22'!$I$18</f>
        <v/>
      </c>
      <c r="AG103" s="164">
        <f>+'[31]22'!$I$18</f>
        <v/>
      </c>
      <c r="AH103" s="164">
        <f>+'[32]22-жадвал'!$I$18</f>
        <v/>
      </c>
      <c r="AI103" s="253">
        <f>+[33]Normatives!$I$18</f>
        <v/>
      </c>
      <c r="AJ103" s="164">
        <f>+'[34]Economic Normatives'!$I$18</f>
        <v/>
      </c>
      <c r="AK103" s="164">
        <f>+'[35]22'!$I$18</f>
        <v/>
      </c>
    </row>
    <row r="104" ht="33" customFormat="1" customHeight="1" s="210">
      <c r="A104" s="122" t="n">
        <v>3</v>
      </c>
      <c r="B104" s="117" t="inlineStr">
        <is>
          <t>Соф барқарор молиялаштириш меъёри</t>
        </is>
      </c>
      <c r="C104" s="164">
        <f>+[1]Лист5!$I$21</f>
        <v/>
      </c>
      <c r="D104" s="164">
        <f>+'[2]22'!$I$21</f>
        <v/>
      </c>
      <c r="E104" s="164">
        <f>+'[3]5'!$I$21</f>
        <v/>
      </c>
      <c r="F104" s="164">
        <f>+'[4]Economic Normatives'!$I$21</f>
        <v/>
      </c>
      <c r="G104" s="164">
        <f>+'[5]22'!$I$18</f>
        <v/>
      </c>
      <c r="H104" s="164">
        <f>+'[6]Economic Normatives'!$I$21</f>
        <v/>
      </c>
      <c r="I104" s="164">
        <f>+'[7]Economic Normatives'!$I$21</f>
        <v/>
      </c>
      <c r="J104" s="164">
        <f>+'[8]22'!$I$21</f>
        <v/>
      </c>
      <c r="K104" s="164">
        <f>+'[9]22'!$I$21</f>
        <v/>
      </c>
      <c r="L104" s="164">
        <f>+'[10]22'!$I$21</f>
        <v/>
      </c>
      <c r="M104" s="164">
        <f>+'[11]22'!$I$21</f>
        <v/>
      </c>
      <c r="N104" s="164">
        <f>+'[12]Economic Normatives'!$I$21</f>
        <v/>
      </c>
      <c r="O104" s="164">
        <f>+'[13]22 т'!$I$21</f>
        <v/>
      </c>
      <c r="P104" s="164">
        <f>+'[14]Economic Normatives'!$I$21</f>
        <v/>
      </c>
      <c r="Q104" s="164">
        <f>+'[15]Economic Normatives'!$I$21</f>
        <v/>
      </c>
      <c r="R104" s="164">
        <f>+'[16]22'!$I$21</f>
        <v/>
      </c>
      <c r="S104" s="164">
        <f>+'[17]22'!$I$21</f>
        <v/>
      </c>
      <c r="T104" s="164">
        <f>+'[18]5'!$I$21</f>
        <v/>
      </c>
      <c r="U104" s="164">
        <f>+'[19]Economic normatives'!$I$21</f>
        <v/>
      </c>
      <c r="V104" s="164">
        <f>+'[20]22'!$I$21</f>
        <v/>
      </c>
      <c r="W104" s="164">
        <f>+'[21]Economic Normatives'!$I$21</f>
        <v/>
      </c>
      <c r="X104" s="164">
        <f>+'[22]22'!$I$21</f>
        <v/>
      </c>
      <c r="Y104" s="164">
        <f>+[23]Лист5!$I$21</f>
        <v/>
      </c>
      <c r="Z104" s="164">
        <f>+'[24]5'!$I$21</f>
        <v/>
      </c>
      <c r="AA104" s="164">
        <f>+'[25]Economic Normatives'!$I$21</f>
        <v/>
      </c>
      <c r="AB104" s="164">
        <f>+'[26]22'!$I$21</f>
        <v/>
      </c>
      <c r="AC104" s="164">
        <f>+'[27]22'!$I$21</f>
        <v/>
      </c>
      <c r="AD104" s="164">
        <f>+'[28]22'!$I$21</f>
        <v/>
      </c>
      <c r="AE104" s="164">
        <f>+[29]Лист5!$I$21</f>
        <v/>
      </c>
      <c r="AF104" s="164">
        <f>+'[30]22'!$I$21</f>
        <v/>
      </c>
      <c r="AG104" s="164">
        <f>+'[31]22'!$I$21</f>
        <v/>
      </c>
      <c r="AH104" s="164">
        <f>+'[32]22-жадвал'!$I$21</f>
        <v/>
      </c>
      <c r="AI104" s="253">
        <f>+[33]Normatives!$I$21</f>
        <v/>
      </c>
      <c r="AJ104" s="164">
        <f>+'[34]Economic Normatives'!$I$21</f>
        <v/>
      </c>
      <c r="AK104" s="164">
        <f>+'[35]22'!$I$21</f>
        <v/>
      </c>
      <c r="AY104" s="168" t="n"/>
    </row>
    <row r="105" customFormat="1" s="210">
      <c r="B105" s="132" t="n"/>
      <c r="C105" s="179" t="n"/>
      <c r="D105" s="179" t="n"/>
      <c r="E105" s="179" t="n"/>
      <c r="F105" s="179" t="n"/>
      <c r="G105" s="179" t="n"/>
      <c r="H105" s="179" t="n"/>
      <c r="I105" s="179" t="n"/>
      <c r="J105" s="179" t="n"/>
      <c r="K105" s="179" t="n"/>
      <c r="L105" s="179" t="n"/>
      <c r="M105" s="179" t="n"/>
      <c r="N105" s="179" t="n"/>
      <c r="O105" s="179" t="n"/>
      <c r="P105" s="179" t="n"/>
      <c r="Q105" s="179" t="n"/>
      <c r="R105" s="179" t="n"/>
      <c r="S105" s="179" t="n"/>
      <c r="T105" s="179" t="n"/>
      <c r="U105" s="179" t="n"/>
      <c r="V105" s="179" t="n"/>
      <c r="W105" s="179" t="n"/>
      <c r="X105" s="179" t="n"/>
      <c r="Y105" s="179" t="n"/>
      <c r="Z105" s="179" t="n"/>
      <c r="AA105" s="179" t="n"/>
      <c r="AB105" s="179" t="n"/>
      <c r="AC105" s="179" t="n"/>
      <c r="AD105" s="179" t="n"/>
      <c r="AE105" s="179" t="n"/>
      <c r="AF105" s="179" t="n"/>
      <c r="AG105" s="179" t="n"/>
      <c r="AH105" s="179" t="n"/>
      <c r="AI105" s="179" t="n"/>
      <c r="AJ105" s="179" t="n"/>
      <c r="AK105" s="179" t="n"/>
      <c r="AY105" s="168" t="n"/>
    </row>
    <row r="106" ht="15.75" customFormat="1" customHeight="1" s="210" thickBot="1">
      <c r="B106" s="132" t="n"/>
      <c r="C106" s="179" t="n"/>
      <c r="D106" s="179" t="n"/>
      <c r="E106" s="179" t="n"/>
      <c r="F106" s="179" t="n"/>
      <c r="G106" s="179" t="n"/>
      <c r="H106" s="179" t="n"/>
      <c r="I106" s="179" t="n"/>
      <c r="J106" s="179" t="n"/>
      <c r="K106" s="179" t="n"/>
      <c r="L106" s="179" t="n"/>
      <c r="M106" s="179" t="n"/>
      <c r="N106" s="179" t="n"/>
      <c r="O106" s="179" t="n"/>
      <c r="P106" s="179" t="n"/>
      <c r="Q106" s="179" t="n"/>
      <c r="R106" s="179" t="n"/>
      <c r="S106" s="179" t="n"/>
      <c r="T106" s="179" t="n"/>
      <c r="U106" s="179" t="n"/>
      <c r="V106" s="179" t="n"/>
      <c r="W106" s="179" t="n"/>
      <c r="X106" s="179" t="n"/>
      <c r="Y106" s="179" t="n"/>
      <c r="Z106" s="179" t="n"/>
      <c r="AA106" s="179" t="n"/>
      <c r="AB106" s="179" t="n"/>
      <c r="AC106" s="179" t="n"/>
      <c r="AD106" s="179" t="n"/>
      <c r="AE106" s="179" t="n"/>
      <c r="AF106" s="179" t="n"/>
      <c r="AG106" s="179" t="n"/>
      <c r="AH106" s="179" t="n"/>
      <c r="AI106" s="179" t="n"/>
      <c r="AJ106" s="179" t="n"/>
      <c r="AK106" s="179" t="n"/>
      <c r="AY106" s="168" t="n"/>
    </row>
    <row r="107" ht="54" customHeight="1" thickBot="1">
      <c r="A107" s="196" t="n"/>
      <c r="B107" s="169" t="inlineStr">
        <is>
          <t>Кўрсаткичлар номи</t>
        </is>
      </c>
      <c r="C107" s="170">
        <f>+C4</f>
        <v/>
      </c>
      <c r="D107" s="170">
        <f>+D4</f>
        <v/>
      </c>
      <c r="E107" s="170">
        <f>+E4</f>
        <v/>
      </c>
      <c r="F107" s="170">
        <f>+F4</f>
        <v/>
      </c>
      <c r="G107" s="170">
        <f>+G4</f>
        <v/>
      </c>
      <c r="H107" s="170">
        <f>+H4</f>
        <v/>
      </c>
      <c r="I107" s="170">
        <f>+I4</f>
        <v/>
      </c>
      <c r="J107" s="170">
        <f>+J4</f>
        <v/>
      </c>
      <c r="K107" s="170">
        <f>+K4</f>
        <v/>
      </c>
      <c r="L107" s="170">
        <f>+L4</f>
        <v/>
      </c>
      <c r="M107" s="170">
        <f>+M4</f>
        <v/>
      </c>
      <c r="N107" s="170">
        <f>+N4</f>
        <v/>
      </c>
      <c r="O107" s="170">
        <f>+O4</f>
        <v/>
      </c>
      <c r="P107" s="170">
        <f>+P4</f>
        <v/>
      </c>
      <c r="Q107" s="170">
        <f>+Q4</f>
        <v/>
      </c>
      <c r="R107" s="170">
        <f>+R4</f>
        <v/>
      </c>
      <c r="S107" s="170">
        <f>+S4</f>
        <v/>
      </c>
      <c r="T107" s="170">
        <f>+T4</f>
        <v/>
      </c>
      <c r="U107" s="170">
        <f>+U4</f>
        <v/>
      </c>
      <c r="V107" s="170">
        <f>+V4</f>
        <v/>
      </c>
      <c r="W107" s="170">
        <f>+W4</f>
        <v/>
      </c>
      <c r="X107" s="170">
        <f>+X4</f>
        <v/>
      </c>
      <c r="Y107" s="170">
        <f>+Y4</f>
        <v/>
      </c>
      <c r="Z107" s="170">
        <f>+Z4</f>
        <v/>
      </c>
      <c r="AA107" s="170">
        <f>+AA4</f>
        <v/>
      </c>
      <c r="AB107" s="170">
        <f>+AB4</f>
        <v/>
      </c>
      <c r="AC107" s="170">
        <f>+AC4</f>
        <v/>
      </c>
      <c r="AD107" s="170">
        <f>+AD4</f>
        <v/>
      </c>
      <c r="AE107" s="170">
        <f>+AE4</f>
        <v/>
      </c>
      <c r="AF107" s="170">
        <f>+AF4</f>
        <v/>
      </c>
      <c r="AG107" s="170">
        <f>+AG4</f>
        <v/>
      </c>
      <c r="AH107" s="293">
        <f>+AH4</f>
        <v/>
      </c>
      <c r="AI107" s="170">
        <f>+AI4</f>
        <v/>
      </c>
      <c r="AJ107" s="172">
        <f>+AJ4</f>
        <v/>
      </c>
      <c r="AK107" s="172">
        <f>+AK4</f>
        <v/>
      </c>
      <c r="AL107" s="210" t="inlineStr">
        <is>
          <t>Mean</t>
        </is>
      </c>
      <c r="AM107" s="210" t="inlineStr">
        <is>
          <t>Max</t>
        </is>
      </c>
      <c r="AN107" s="210" t="inlineStr">
        <is>
          <t>Min</t>
        </is>
      </c>
    </row>
    <row r="108" ht="20.25" customHeight="1">
      <c r="A108" s="197" t="n"/>
      <c r="B108" s="177" t="inlineStr">
        <is>
          <t>Капитал етарлилиги кўрсаткичлари:</t>
        </is>
      </c>
      <c r="C108" s="198" t="n"/>
      <c r="D108" s="199" t="n"/>
      <c r="E108" s="199" t="n"/>
      <c r="F108" s="199" t="n"/>
      <c r="G108" s="199" t="n"/>
      <c r="H108" s="199" t="n"/>
      <c r="I108" s="199" t="n"/>
      <c r="J108" s="199" t="n"/>
      <c r="K108" s="199" t="n"/>
      <c r="L108" s="199" t="n"/>
      <c r="M108" s="199" t="n"/>
      <c r="N108" s="199" t="n"/>
      <c r="O108" s="199" t="n"/>
      <c r="P108" s="199" t="n"/>
      <c r="Q108" s="199" t="n"/>
      <c r="R108" s="199" t="n"/>
      <c r="S108" s="199" t="n"/>
      <c r="T108" s="199" t="n"/>
      <c r="U108" s="199" t="n"/>
      <c r="V108" s="199" t="n"/>
      <c r="W108" s="199" t="n"/>
      <c r="X108" s="199" t="n"/>
      <c r="Y108" s="199" t="n"/>
      <c r="Z108" s="199" t="n"/>
      <c r="AA108" s="199" t="n"/>
      <c r="AB108" s="199" t="n"/>
      <c r="AC108" s="199" t="n"/>
      <c r="AD108" s="199" t="n"/>
      <c r="AE108" s="199" t="n"/>
      <c r="AF108" s="199" t="n"/>
      <c r="AG108" s="199" t="n"/>
      <c r="AH108" s="199" t="n"/>
      <c r="AI108" s="199" t="n"/>
      <c r="AJ108" s="200" t="n"/>
      <c r="AK108" s="200" t="n"/>
    </row>
    <row r="109">
      <c r="A109" s="196" t="n"/>
      <c r="B109" s="265" t="inlineStr">
        <is>
          <t>Регулятив капиталнинг монандлик коэффициенти</t>
        </is>
      </c>
      <c r="C109" s="201">
        <f>+C97</f>
        <v/>
      </c>
      <c r="D109" s="201">
        <f>+D97</f>
        <v/>
      </c>
      <c r="E109" s="201">
        <f>+E97</f>
        <v/>
      </c>
      <c r="F109" s="201">
        <f>+F97</f>
        <v/>
      </c>
      <c r="G109" s="201">
        <f>+G97</f>
        <v/>
      </c>
      <c r="H109" s="201">
        <f>+H97</f>
        <v/>
      </c>
      <c r="I109" s="201">
        <f>+I97</f>
        <v/>
      </c>
      <c r="J109" s="201">
        <f>+J97</f>
        <v/>
      </c>
      <c r="K109" s="201">
        <f>+K97</f>
        <v/>
      </c>
      <c r="L109" s="201">
        <f>+L97</f>
        <v/>
      </c>
      <c r="M109" s="201">
        <f>+M97</f>
        <v/>
      </c>
      <c r="N109" s="201">
        <f>+N97</f>
        <v/>
      </c>
      <c r="O109" s="201">
        <f>+O97</f>
        <v/>
      </c>
      <c r="P109" s="201">
        <f>+P97</f>
        <v/>
      </c>
      <c r="Q109" s="201">
        <f>+Q97</f>
        <v/>
      </c>
      <c r="R109" s="201">
        <f>+R97</f>
        <v/>
      </c>
      <c r="S109" s="201">
        <f>+S97</f>
        <v/>
      </c>
      <c r="T109" s="201">
        <f>+T97</f>
        <v/>
      </c>
      <c r="U109" s="201">
        <f>+U97</f>
        <v/>
      </c>
      <c r="V109" s="201">
        <f>+V97</f>
        <v/>
      </c>
      <c r="W109" s="201">
        <f>+W97</f>
        <v/>
      </c>
      <c r="X109" s="201">
        <f>+X97</f>
        <v/>
      </c>
      <c r="Y109" s="201">
        <f>+Y97</f>
        <v/>
      </c>
      <c r="Z109" s="201">
        <f>+Z97</f>
        <v/>
      </c>
      <c r="AA109" s="201">
        <f>+AA97</f>
        <v/>
      </c>
      <c r="AB109" s="201">
        <f>+AB97</f>
        <v/>
      </c>
      <c r="AC109" s="201">
        <f>+AC97</f>
        <v/>
      </c>
      <c r="AD109" s="201">
        <f>+AD97</f>
        <v/>
      </c>
      <c r="AE109" s="201">
        <f>+AE97</f>
        <v/>
      </c>
      <c r="AF109" s="201">
        <f>+AF97</f>
        <v/>
      </c>
      <c r="AG109" s="201">
        <f>+AG97</f>
        <v/>
      </c>
      <c r="AH109" s="201">
        <f>+AH97</f>
        <v/>
      </c>
      <c r="AI109" s="201">
        <f>+AI97</f>
        <v/>
      </c>
      <c r="AJ109" s="202">
        <f>+AJ97</f>
        <v/>
      </c>
      <c r="AK109" s="202">
        <f>+AK97</f>
        <v/>
      </c>
      <c r="AL109" s="203">
        <f>+AVERAGE(C109:AJ109)</f>
        <v/>
      </c>
      <c r="AM109" s="203">
        <f>+MAX(C109:AJ109)</f>
        <v/>
      </c>
      <c r="AN109" s="203">
        <f>+MIN(C109:AJ109)</f>
        <v/>
      </c>
      <c r="AP109" s="120" t="inlineStr">
        <is>
          <t>&lt;10%</t>
        </is>
      </c>
      <c r="AQ109" s="120" t="inlineStr">
        <is>
          <t>10%&lt;=…&lt;15%</t>
        </is>
      </c>
      <c r="AR109" s="120" t="inlineStr">
        <is>
          <t>15%&lt;=…&lt;20%</t>
        </is>
      </c>
      <c r="AS109" s="121" t="inlineStr">
        <is>
          <t>&gt;=20%</t>
        </is>
      </c>
    </row>
    <row r="110">
      <c r="A110" s="196" t="n"/>
      <c r="B110" s="294" t="n"/>
      <c r="C110" s="122">
        <f>IF(C109&gt;0,IF(AND(C109&gt;0%,C109&lt;$H$146),$H$147,IF(AND(C109&gt;=$I$146,C109&lt;$J$146),$I$147,IF(AND(C109&gt;=$J$146,C109&lt;$K$146),$J$147,$K$147))),0)</f>
        <v/>
      </c>
      <c r="D110" s="122">
        <f>IF(D109&gt;0,IF(AND(D109&gt;0%,D109&lt;$H$146),$H$147,IF(AND(D109&gt;=$I$146,D109&lt;$J$146),$I$147,IF(AND(D109&gt;=$J$146,D109&lt;$K$146),$J$147,$K$147))),0)</f>
        <v/>
      </c>
      <c r="E110" s="122">
        <f>IF(E109&gt;0,IF(AND(E109&gt;0%,E109&lt;$H$146),$H$147,IF(AND(E109&gt;=$I$146,E109&lt;$J$146),$I$147,IF(AND(E109&gt;=$J$146,E109&lt;$K$146),$J$147,$K$147))),0)</f>
        <v/>
      </c>
      <c r="F110" s="122">
        <f>IF(F109&gt;0,IF(AND(F109&gt;0%,F109&lt;$H$146),$H$147,IF(AND(F109&gt;=$I$146,F109&lt;$J$146),$I$147,IF(AND(F109&gt;=$J$146,F109&lt;$K$146),$J$147,$K$147))),0)</f>
        <v/>
      </c>
      <c r="G110" s="122">
        <f>IF(G109&gt;0,IF(AND(G109&gt;0%,G109&lt;$H$146),$H$147,IF(AND(G109&gt;=$I$146,G109&lt;$J$146),$I$147,IF(AND(G109&gt;=$J$146,G109&lt;$K$146),$J$147,$K$147))),0)</f>
        <v/>
      </c>
      <c r="H110" s="122">
        <f>IF(H109&gt;0,IF(AND(H109&gt;0%,H109&lt;$H$146),$H$147,IF(AND(H109&gt;=$I$146,H109&lt;$J$146),$I$147,IF(AND(H109&gt;=$J$146,H109&lt;$K$146),$J$147,$K$147))),0)</f>
        <v/>
      </c>
      <c r="I110" s="122">
        <f>IF(I109&gt;0,IF(AND(I109&gt;0%,I109&lt;$H$146),$H$147,IF(AND(I109&gt;=$I$146,I109&lt;$J$146),$I$147,IF(AND(I109&gt;=$J$146,I109&lt;$K$146),$J$147,$K$147))),0)</f>
        <v/>
      </c>
      <c r="J110" s="122">
        <f>IF(J109&gt;0,IF(AND(J109&gt;0%,J109&lt;$H$146),$H$147,IF(AND(J109&gt;=$I$146,J109&lt;$J$146),$I$147,IF(AND(J109&gt;=$J$146,J109&lt;$K$146),$J$147,$K$147))),0)</f>
        <v/>
      </c>
      <c r="K110" s="122">
        <f>IF(K109&gt;0,IF(AND(K109&gt;0%,K109&lt;$H$146),$H$147,IF(AND(K109&gt;=$I$146,K109&lt;$J$146),$I$147,IF(AND(K109&gt;=$J$146,K109&lt;$K$146),$J$147,$K$147))),0)</f>
        <v/>
      </c>
      <c r="L110" s="122">
        <f>IF(L109&gt;0,IF(AND(L109&gt;0%,L109&lt;$H$146),$H$147,IF(AND(L109&gt;=$I$146,L109&lt;$J$146),$I$147,IF(AND(L109&gt;=$J$146,L109&lt;$K$146),$J$147,$K$147))),0)</f>
        <v/>
      </c>
      <c r="M110" s="122">
        <f>IF(M109&gt;0,IF(AND(M109&gt;0%,M109&lt;$H$146),$H$147,IF(AND(M109&gt;=$I$146,M109&lt;$J$146),$I$147,IF(AND(M109&gt;=$J$146,M109&lt;$K$146),$J$147,$K$147))),0)</f>
        <v/>
      </c>
      <c r="N110" s="122">
        <f>IF(N109&gt;0,IF(AND(N109&gt;0%,N109&lt;$H$146),$H$147,IF(AND(N109&gt;=$I$146,N109&lt;$J$146),$I$147,IF(AND(N109&gt;=$J$146,N109&lt;$K$146),$J$147,$K$147))),0)</f>
        <v/>
      </c>
      <c r="O110" s="122">
        <f>IF(O109&gt;0,IF(AND(O109&gt;0%,O109&lt;$H$146),$H$147,IF(AND(O109&gt;=$I$146,O109&lt;$J$146),$I$147,IF(AND(O109&gt;=$J$146,O109&lt;$K$146),$J$147,$K$147))),0)</f>
        <v/>
      </c>
      <c r="P110" s="122">
        <f>IF(P109&gt;0,IF(AND(P109&gt;0%,P109&lt;$H$146),$H$147,IF(AND(P109&gt;=$I$146,P109&lt;$J$146),$I$147,IF(AND(P109&gt;=$J$146,P109&lt;$K$146),$J$147,$K$147))),0)</f>
        <v/>
      </c>
      <c r="Q110" s="122">
        <f>IF(Q109&gt;0,IF(AND(Q109&gt;0%,Q109&lt;$H$146),$H$147,IF(AND(Q109&gt;=$I$146,Q109&lt;$J$146),$I$147,IF(AND(Q109&gt;=$J$146,Q109&lt;$K$146),$J$147,$K$147))),0)</f>
        <v/>
      </c>
      <c r="R110" s="122">
        <f>IF(R109&gt;0,IF(AND(R109&gt;0%,R109&lt;$H$146),$H$147,IF(AND(R109&gt;=$I$146,R109&lt;$J$146),$I$147,IF(AND(R109&gt;=$J$146,R109&lt;$K$146),$J$147,$K$147))),0)</f>
        <v/>
      </c>
      <c r="S110" s="122">
        <f>IF(S109&gt;0,IF(AND(S109&gt;0%,S109&lt;$H$146),$H$147,IF(AND(S109&gt;=$I$146,S109&lt;$J$146),$I$147,IF(AND(S109&gt;=$J$146,S109&lt;$K$146),$J$147,$K$147))),0)</f>
        <v/>
      </c>
      <c r="T110" s="122">
        <f>IF(T109&gt;0,IF(AND(T109&gt;0%,T109&lt;$H$146),$H$147,IF(AND(T109&gt;=$I$146,T109&lt;$J$146),$I$147,IF(AND(T109&gt;=$J$146,T109&lt;$K$146),$J$147,$K$147))),0)</f>
        <v/>
      </c>
      <c r="U110" s="122">
        <f>IF(U109&gt;0,IF(AND(U109&gt;0%,U109&lt;$H$146),$H$147,IF(AND(U109&gt;=$I$146,U109&lt;$J$146),$I$147,IF(AND(U109&gt;=$J$146,U109&lt;$K$146),$J$147,$K$147))),0)</f>
        <v/>
      </c>
      <c r="V110" s="122">
        <f>IF(V109&gt;0,IF(AND(V109&gt;0%,V109&lt;$H$146),$H$147,IF(AND(V109&gt;=$I$146,V109&lt;$J$146),$I$147,IF(AND(V109&gt;=$J$146,V109&lt;$K$146),$J$147,$K$147))),0)</f>
        <v/>
      </c>
      <c r="W110" s="122">
        <f>IF(W109&gt;0,IF(AND(W109&gt;0%,W109&lt;$H$146),$H$147,IF(AND(W109&gt;=$I$146,W109&lt;$J$146),$I$147,IF(AND(W109&gt;=$J$146,W109&lt;$K$146),$J$147,$K$147))),0)</f>
        <v/>
      </c>
      <c r="X110" s="122">
        <f>IF(X109&gt;0,IF(AND(X109&gt;0%,X109&lt;$H$146),$H$147,IF(AND(X109&gt;=$I$146,X109&lt;$J$146),$I$147,IF(AND(X109&gt;=$J$146,X109&lt;$K$146),$J$147,$K$147))),0)</f>
        <v/>
      </c>
      <c r="Y110" s="122">
        <f>IF(Y109&gt;0,IF(AND(Y109&gt;0%,Y109&lt;$H$146),$H$147,IF(AND(Y109&gt;=$I$146,Y109&lt;$J$146),$I$147,IF(AND(Y109&gt;=$J$146,Y109&lt;$K$146),$J$147,$K$147))),0)</f>
        <v/>
      </c>
      <c r="Z110" s="122">
        <f>IF(Z109&gt;0,IF(AND(Z109&gt;0%,Z109&lt;$H$146),$H$147,IF(AND(Z109&gt;=$I$146,Z109&lt;$J$146),$I$147,IF(AND(Z109&gt;=$J$146,Z109&lt;$K$146),$J$147,$K$147))),0)</f>
        <v/>
      </c>
      <c r="AA110" s="122">
        <f>IF(AA109&gt;0,IF(AND(AA109&gt;0%,AA109&lt;$H$146),$H$147,IF(AND(AA109&gt;=$I$146,AA109&lt;$J$146),$I$147,IF(AND(AA109&gt;=$J$146,AA109&lt;$K$146),$J$147,$K$147))),0)</f>
        <v/>
      </c>
      <c r="AB110" s="122">
        <f>IF(AB109&gt;0,IF(AND(AB109&gt;0%,AB109&lt;$H$146),$H$147,IF(AND(AB109&gt;=$I$146,AB109&lt;$J$146),$I$147,IF(AND(AB109&gt;=$J$146,AB109&lt;$K$146),$J$147,$K$147))),0)</f>
        <v/>
      </c>
      <c r="AC110" s="122">
        <f>IF(AC109&gt;0,IF(AND(AC109&gt;0%,AC109&lt;$H$146),$H$147,IF(AND(AC109&gt;=$I$146,AC109&lt;$J$146),$I$147,IF(AND(AC109&gt;=$J$146,AC109&lt;$K$146),$J$147,$K$147))),0)</f>
        <v/>
      </c>
      <c r="AD110" s="122">
        <f>IF(AD109&gt;0,IF(AND(AD109&gt;0%,AD109&lt;$H$146),$H$147,IF(AND(AD109&gt;=$I$146,AD109&lt;$J$146),$I$147,IF(AND(AD109&gt;=$J$146,AD109&lt;$K$146),$J$147,$K$147))),0)</f>
        <v/>
      </c>
      <c r="AE110" s="122">
        <f>IF(AE109&gt;0,IF(AND(AE109&gt;0%,AE109&lt;$H$146),$H$147,IF(AND(AE109&gt;=$I$146,AE109&lt;$J$146),$I$147,IF(AND(AE109&gt;=$J$146,AE109&lt;$K$146),$J$147,$K$147))),0)</f>
        <v/>
      </c>
      <c r="AF110" s="122">
        <f>IF(AF109&gt;0,IF(AND(AF109&gt;0%,AF109&lt;$H$146),$H$147,IF(AND(AF109&gt;=$I$146,AF109&lt;$J$146),$I$147,IF(AND(AF109&gt;=$J$146,AF109&lt;$K$146),$J$147,$K$147))),0)</f>
        <v/>
      </c>
      <c r="AG110" s="122">
        <f>IF(AG109&gt;0,IF(AND(AG109&gt;0%,AG109&lt;$H$146),$H$147,IF(AND(AG109&gt;=$I$146,AG109&lt;$J$146),$I$147,IF(AND(AG109&gt;=$J$146,AG109&lt;$K$146),$J$147,$K$147))),0)</f>
        <v/>
      </c>
      <c r="AH110" s="122">
        <f>IF(AH109&gt;0,IF(AND(AH109&gt;0%,AH109&lt;$H$146),$H$147,IF(AND(AH109&gt;=$I$146,AH109&lt;$J$146),$I$147,IF(AND(AH109&gt;=$J$146,AH109&lt;$K$146),$J$147,$K$147))),0)</f>
        <v/>
      </c>
      <c r="AI110" s="122">
        <f>IF(AI109&gt;0,IF(AND(AI109&gt;0%,AI109&lt;$H$146),$H$147,IF(AND(AI109&gt;=$I$146,AI109&lt;$J$146),$I$147,IF(AND(AI109&gt;=$J$146,AI109&lt;$K$146),$J$147,$K$147))),0)</f>
        <v/>
      </c>
      <c r="AJ110" s="174">
        <f>IF(AJ109&gt;0,IF(AND(AJ109&gt;0%,AJ109&lt;$H$146),$H$147,IF(AND(AJ109&gt;=$I$146,AJ109&lt;$J$146),$I$147,IF(AND(AJ109&gt;=$J$146,AJ109&lt;$K$146),$J$147,$K$147))),0)</f>
        <v/>
      </c>
      <c r="AK110" s="174">
        <f>IF(AK109&gt;0,IF(AND(AK109&gt;0%,AK109&lt;$H$146),$H$147,IF(AND(AK109&gt;=$I$146,AK109&lt;$J$146),$I$147,IF(AND(AK109&gt;=$J$146,AK109&lt;$K$146),$J$147,$K$147))),0)</f>
        <v/>
      </c>
      <c r="AL110" s="203" t="n"/>
      <c r="AM110" s="203" t="n"/>
      <c r="AN110" s="203" t="n"/>
      <c r="AP110" s="120" t="n">
        <v>0</v>
      </c>
      <c r="AQ110" s="120" t="n">
        <v>5</v>
      </c>
      <c r="AR110" s="120" t="n">
        <v>10</v>
      </c>
      <c r="AS110" s="123" t="n">
        <v>15</v>
      </c>
      <c r="AU110" s="210">
        <f>+COUNTIF($C110:$AJ110,AP110)</f>
        <v/>
      </c>
      <c r="AV110" s="210">
        <f>+COUNTIF($C110:$AJ110,AQ110)</f>
        <v/>
      </c>
      <c r="AW110" s="210">
        <f>+COUNTIF($C110:$AJ110,AR110)</f>
        <v/>
      </c>
      <c r="AX110" s="210">
        <f>+COUNTIF($C110:$AJ110,AS110)</f>
        <v/>
      </c>
      <c r="AY110" s="168">
        <f>+SUM(AU110:AX110)</f>
        <v/>
      </c>
    </row>
    <row r="111">
      <c r="A111" s="196" t="n"/>
      <c r="B111" s="265" t="inlineStr">
        <is>
          <t>I даражали капиталнинг монандлик коэффициенти</t>
        </is>
      </c>
      <c r="C111" s="201">
        <f>+C98</f>
        <v/>
      </c>
      <c r="D111" s="201">
        <f>+D98</f>
        <v/>
      </c>
      <c r="E111" s="201">
        <f>+E98</f>
        <v/>
      </c>
      <c r="F111" s="201">
        <f>+F98</f>
        <v/>
      </c>
      <c r="G111" s="201">
        <f>+G98</f>
        <v/>
      </c>
      <c r="H111" s="201">
        <f>+H98</f>
        <v/>
      </c>
      <c r="I111" s="201">
        <f>+I98</f>
        <v/>
      </c>
      <c r="J111" s="201">
        <f>+J98</f>
        <v/>
      </c>
      <c r="K111" s="201">
        <f>+K98</f>
        <v/>
      </c>
      <c r="L111" s="201">
        <f>+L98</f>
        <v/>
      </c>
      <c r="M111" s="201">
        <f>+M98</f>
        <v/>
      </c>
      <c r="N111" s="201">
        <f>+N98</f>
        <v/>
      </c>
      <c r="O111" s="201">
        <f>+O98</f>
        <v/>
      </c>
      <c r="P111" s="201">
        <f>+P98</f>
        <v/>
      </c>
      <c r="Q111" s="201">
        <f>+Q98</f>
        <v/>
      </c>
      <c r="R111" s="201">
        <f>+R98</f>
        <v/>
      </c>
      <c r="S111" s="201">
        <f>+S98</f>
        <v/>
      </c>
      <c r="T111" s="201">
        <f>+T98</f>
        <v/>
      </c>
      <c r="U111" s="201">
        <f>+U98</f>
        <v/>
      </c>
      <c r="V111" s="201">
        <f>+V98</f>
        <v/>
      </c>
      <c r="W111" s="201">
        <f>+W98</f>
        <v/>
      </c>
      <c r="X111" s="201">
        <f>+X98</f>
        <v/>
      </c>
      <c r="Y111" s="201">
        <f>+Y98</f>
        <v/>
      </c>
      <c r="Z111" s="201">
        <f>+Z98</f>
        <v/>
      </c>
      <c r="AA111" s="201">
        <f>+AA98</f>
        <v/>
      </c>
      <c r="AB111" s="201">
        <f>+AB98</f>
        <v/>
      </c>
      <c r="AC111" s="201">
        <f>+AC98</f>
        <v/>
      </c>
      <c r="AD111" s="201">
        <f>+AD98</f>
        <v/>
      </c>
      <c r="AE111" s="201">
        <f>+AE98</f>
        <v/>
      </c>
      <c r="AF111" s="201">
        <f>+AF98</f>
        <v/>
      </c>
      <c r="AG111" s="201">
        <f>+AG98</f>
        <v/>
      </c>
      <c r="AH111" s="201">
        <f>+AH98</f>
        <v/>
      </c>
      <c r="AI111" s="201">
        <f>+AI98</f>
        <v/>
      </c>
      <c r="AJ111" s="202">
        <f>+AJ98</f>
        <v/>
      </c>
      <c r="AK111" s="202">
        <f>+AK98</f>
        <v/>
      </c>
      <c r="AL111" s="203">
        <f>+AVERAGE(C111:AJ111)</f>
        <v/>
      </c>
      <c r="AM111" s="203">
        <f>+MAX(C111:AJ111)</f>
        <v/>
      </c>
      <c r="AN111" s="203">
        <f>+MIN(C111:AJ111)</f>
        <v/>
      </c>
      <c r="AP111" s="120" t="inlineStr">
        <is>
          <t>&lt;15%</t>
        </is>
      </c>
      <c r="AQ111" s="120" t="inlineStr">
        <is>
          <t>15%&lt;=…&lt;20%</t>
        </is>
      </c>
      <c r="AR111" s="120" t="inlineStr">
        <is>
          <t>20%&lt;=…&lt;30%</t>
        </is>
      </c>
      <c r="AS111" s="121" t="inlineStr">
        <is>
          <t>&gt;=30%</t>
        </is>
      </c>
    </row>
    <row r="112">
      <c r="A112" s="196" t="n"/>
      <c r="B112" s="294" t="n"/>
      <c r="C112" s="122">
        <f>IF(C111&gt;0,IF(AND(C111&gt;0%,C111&lt;$H$148),$H$149,IF(AND(C111&gt;=$I$148,C111&lt;$J$148),$I$149,IF(AND(C111&gt;=$J$148,C111&lt;$K$148),$J$149,$K$149))),0)</f>
        <v/>
      </c>
      <c r="D112" s="122">
        <f>IF(D111&gt;0,IF(AND(D111&gt;0%,D111&lt;$H$148),$H$149,IF(AND(D111&gt;=$I$148,D111&lt;$J$148),$I$149,IF(AND(D111&gt;=$J$148,D111&lt;$K$148),$J$149,$K$149))),0)</f>
        <v/>
      </c>
      <c r="E112" s="122">
        <f>IF(E111&gt;0,IF(AND(E111&gt;0%,E111&lt;$H$148),$H$149,IF(AND(E111&gt;=$I$148,E111&lt;$J$148),$I$149,IF(AND(E111&gt;=$J$148,E111&lt;$K$148),$J$149,$K$149))),0)</f>
        <v/>
      </c>
      <c r="F112" s="122">
        <f>IF(F111&gt;0,IF(AND(F111&gt;0%,F111&lt;$H$148),$H$149,IF(AND(F111&gt;=$I$148,F111&lt;$J$148),$I$149,IF(AND(F111&gt;=$J$148,F111&lt;$K$148),$J$149,$K$149))),0)</f>
        <v/>
      </c>
      <c r="G112" s="122">
        <f>IF(G111&gt;0,IF(AND(G111&gt;0%,G111&lt;$H$148),$H$149,IF(AND(G111&gt;=$I$148,G111&lt;$J$148),$I$149,IF(AND(G111&gt;=$J$148,G111&lt;$K$148),$J$149,$K$149))),0)</f>
        <v/>
      </c>
      <c r="H112" s="122">
        <f>IF(H111&gt;0,IF(AND(H111&gt;0%,H111&lt;$H$148),$H$149,IF(AND(H111&gt;=$I$148,H111&lt;$J$148),$I$149,IF(AND(H111&gt;=$J$148,H111&lt;$K$148),$J$149,$K$149))),0)</f>
        <v/>
      </c>
      <c r="I112" s="122">
        <f>IF(I111&gt;0,IF(AND(I111&gt;0%,I111&lt;$H$148),$H$149,IF(AND(I111&gt;=$I$148,I111&lt;$J$148),$I$149,IF(AND(I111&gt;=$J$148,I111&lt;$K$148),$J$149,$K$149))),0)</f>
        <v/>
      </c>
      <c r="J112" s="122">
        <f>IF(J111&gt;0,IF(AND(J111&gt;0%,J111&lt;$H$148),$H$149,IF(AND(J111&gt;=$I$148,J111&lt;$J$148),$I$149,IF(AND(J111&gt;=$J$148,J111&lt;$K$148),$J$149,$K$149))),0)</f>
        <v/>
      </c>
      <c r="K112" s="122">
        <f>IF(K111&gt;0,IF(AND(K111&gt;0%,K111&lt;$H$148),$H$149,IF(AND(K111&gt;=$I$148,K111&lt;$J$148),$I$149,IF(AND(K111&gt;=$J$148,K111&lt;$K$148),$J$149,$K$149))),0)</f>
        <v/>
      </c>
      <c r="L112" s="122">
        <f>IF(L111&gt;0,IF(AND(L111&gt;0%,L111&lt;$H$148),$H$149,IF(AND(L111&gt;=$I$148,L111&lt;$J$148),$I$149,IF(AND(L111&gt;=$J$148,L111&lt;$K$148),$J$149,$K$149))),0)</f>
        <v/>
      </c>
      <c r="M112" s="122">
        <f>IF(M111&gt;0,IF(AND(M111&gt;0%,M111&lt;$H$148),$H$149,IF(AND(M111&gt;=$I$148,M111&lt;$J$148),$I$149,IF(AND(M111&gt;=$J$148,M111&lt;$K$148),$J$149,$K$149))),0)</f>
        <v/>
      </c>
      <c r="N112" s="122">
        <f>IF(N111&gt;0,IF(AND(N111&gt;0%,N111&lt;$H$148),$H$149,IF(AND(N111&gt;=$I$148,N111&lt;$J$148),$I$149,IF(AND(N111&gt;=$J$148,N111&lt;$K$148),$J$149,$K$149))),0)</f>
        <v/>
      </c>
      <c r="O112" s="122">
        <f>IF(O111&gt;0,IF(AND(O111&gt;0%,O111&lt;$H$148),$H$149,IF(AND(O111&gt;=$I$148,O111&lt;$J$148),$I$149,IF(AND(O111&gt;=$J$148,O111&lt;$K$148),$J$149,$K$149))),0)</f>
        <v/>
      </c>
      <c r="P112" s="122">
        <f>IF(P111&gt;0,IF(AND(P111&gt;0%,P111&lt;$H$148),$H$149,IF(AND(P111&gt;=$I$148,P111&lt;$J$148),$I$149,IF(AND(P111&gt;=$J$148,P111&lt;$K$148),$J$149,$K$149))),0)</f>
        <v/>
      </c>
      <c r="Q112" s="122">
        <f>IF(Q111&gt;0,IF(AND(Q111&gt;0%,Q111&lt;$H$148),$H$149,IF(AND(Q111&gt;=$I$148,Q111&lt;$J$148),$I$149,IF(AND(Q111&gt;=$J$148,Q111&lt;$K$148),$J$149,$K$149))),0)</f>
        <v/>
      </c>
      <c r="R112" s="122">
        <f>IF(R111&gt;0,IF(AND(R111&gt;0%,R111&lt;$H$148),$H$149,IF(AND(R111&gt;=$I$148,R111&lt;$J$148),$I$149,IF(AND(R111&gt;=$J$148,R111&lt;$K$148),$J$149,$K$149))),0)</f>
        <v/>
      </c>
      <c r="S112" s="122">
        <f>IF(S111&gt;0,IF(AND(S111&gt;0%,S111&lt;$H$148),$H$149,IF(AND(S111&gt;=$I$148,S111&lt;$J$148),$I$149,IF(AND(S111&gt;=$J$148,S111&lt;$K$148),$J$149,$K$149))),0)</f>
        <v/>
      </c>
      <c r="T112" s="122">
        <f>IF(T111&gt;0,IF(AND(T111&gt;0%,T111&lt;$H$148),$H$149,IF(AND(T111&gt;=$I$148,T111&lt;$J$148),$I$149,IF(AND(T111&gt;=$J$148,T111&lt;$K$148),$J$149,$K$149))),0)</f>
        <v/>
      </c>
      <c r="U112" s="122">
        <f>IF(U111&gt;0,IF(AND(U111&gt;0%,U111&lt;$H$148),$H$149,IF(AND(U111&gt;=$I$148,U111&lt;$J$148),$I$149,IF(AND(U111&gt;=$J$148,U111&lt;$K$148),$J$149,$K$149))),0)</f>
        <v/>
      </c>
      <c r="V112" s="122">
        <f>IF(V111&gt;0,IF(AND(V111&gt;0%,V111&lt;$H$148),$H$149,IF(AND(V111&gt;=$I$148,V111&lt;$J$148),$I$149,IF(AND(V111&gt;=$J$148,V111&lt;$K$148),$J$149,$K$149))),0)</f>
        <v/>
      </c>
      <c r="W112" s="122">
        <f>IF(W111&gt;0,IF(AND(W111&gt;0%,W111&lt;$H$148),$H$149,IF(AND(W111&gt;=$I$148,W111&lt;$J$148),$I$149,IF(AND(W111&gt;=$J$148,W111&lt;$K$148),$J$149,$K$149))),0)</f>
        <v/>
      </c>
      <c r="X112" s="122">
        <f>IF(X111&gt;0,IF(AND(X111&gt;0%,X111&lt;$H$148),$H$149,IF(AND(X111&gt;=$I$148,X111&lt;$J$148),$I$149,IF(AND(X111&gt;=$J$148,X111&lt;$K$148),$J$149,$K$149))),0)</f>
        <v/>
      </c>
      <c r="Y112" s="122">
        <f>IF(Y111&gt;0,IF(AND(Y111&gt;0%,Y111&lt;$H$148),$H$149,IF(AND(Y111&gt;=$I$148,Y111&lt;$J$148),$I$149,IF(AND(Y111&gt;=$J$148,Y111&lt;$K$148),$J$149,$K$149))),0)</f>
        <v/>
      </c>
      <c r="Z112" s="122">
        <f>IF(Z111&gt;0,IF(AND(Z111&gt;0%,Z111&lt;$H$148),$H$149,IF(AND(Z111&gt;=$I$148,Z111&lt;$J$148),$I$149,IF(AND(Z111&gt;=$J$148,Z111&lt;$K$148),$J$149,$K$149))),0)</f>
        <v/>
      </c>
      <c r="AA112" s="122">
        <f>IF(AA111&gt;0,IF(AND(AA111&gt;0%,AA111&lt;$H$148),$H$149,IF(AND(AA111&gt;=$I$148,AA111&lt;$J$148),$I$149,IF(AND(AA111&gt;=$J$148,AA111&lt;$K$148),$J$149,$K$149))),0)</f>
        <v/>
      </c>
      <c r="AB112" s="122">
        <f>IF(AB111&gt;0,IF(AND(AB111&gt;0%,AB111&lt;$H$148),$H$149,IF(AND(AB111&gt;=$I$148,AB111&lt;$J$148),$I$149,IF(AND(AB111&gt;=$J$148,AB111&lt;$K$148),$J$149,$K$149))),0)</f>
        <v/>
      </c>
      <c r="AC112" s="122">
        <f>IF(AC111&gt;0,IF(AND(AC111&gt;0%,AC111&lt;$H$148),$H$149,IF(AND(AC111&gt;=$I$148,AC111&lt;$J$148),$I$149,IF(AND(AC111&gt;=$J$148,AC111&lt;$K$148),$J$149,$K$149))),0)</f>
        <v/>
      </c>
      <c r="AD112" s="122">
        <f>IF(AD111&gt;0,IF(AND(AD111&gt;0%,AD111&lt;$H$148),$H$149,IF(AND(AD111&gt;=$I$148,AD111&lt;$J$148),$I$149,IF(AND(AD111&gt;=$J$148,AD111&lt;$K$148),$J$149,$K$149))),0)</f>
        <v/>
      </c>
      <c r="AE112" s="122">
        <f>IF(AE111&gt;0,IF(AND(AE111&gt;0%,AE111&lt;$H$148),$H$149,IF(AND(AE111&gt;=$I$148,AE111&lt;$J$148),$I$149,IF(AND(AE111&gt;=$J$148,AE111&lt;$K$148),$J$149,$K$149))),0)</f>
        <v/>
      </c>
      <c r="AF112" s="122">
        <f>IF(AF111&gt;0,IF(AND(AF111&gt;0%,AF111&lt;$H$148),$H$149,IF(AND(AF111&gt;=$I$148,AF111&lt;$J$148),$I$149,IF(AND(AF111&gt;=$J$148,AF111&lt;$K$148),$J$149,$K$149))),0)</f>
        <v/>
      </c>
      <c r="AG112" s="122">
        <f>IF(AG111&gt;0,IF(AND(AG111&gt;0%,AG111&lt;$H$148),$H$149,IF(AND(AG111&gt;=$I$148,AG111&lt;$J$148),$I$149,IF(AND(AG111&gt;=$J$148,AG111&lt;$K$148),$J$149,$K$149))),0)</f>
        <v/>
      </c>
      <c r="AH112" s="122">
        <f>IF(AH111&gt;0,IF(AND(AH111&gt;0%,AH111&lt;$H$148),$H$149,IF(AND(AH111&gt;=$I$148,AH111&lt;$J$148),$I$149,IF(AND(AH111&gt;=$J$148,AH111&lt;$K$148),$J$149,$K$149))),0)</f>
        <v/>
      </c>
      <c r="AI112" s="122">
        <f>IF(AI111&gt;0,IF(AND(AI111&gt;0%,AI111&lt;$H$148),$H$149,IF(AND(AI111&gt;=$I$148,AI111&lt;$J$148),$I$149,IF(AND(AI111&gt;=$J$148,AI111&lt;$K$148),$J$149,$K$149))),0)</f>
        <v/>
      </c>
      <c r="AJ112" s="174">
        <f>IF(AJ111&gt;0,IF(AND(AJ111&gt;0%,AJ111&lt;$H$148),$H$149,IF(AND(AJ111&gt;=$I$148,AJ111&lt;$J$148),$I$149,IF(AND(AJ111&gt;=$J$148,AJ111&lt;$K$148),$J$149,$K$149))),0)</f>
        <v/>
      </c>
      <c r="AK112" s="174">
        <f>IF(AK111&gt;0,IF(AND(AK111&gt;0%,AK111&lt;$H$148),$H$149,IF(AND(AK111&gt;=$I$148,AK111&lt;$J$148),$I$149,IF(AND(AK111&gt;=$J$148,AK111&lt;$K$148),$J$149,$K$149))),0)</f>
        <v/>
      </c>
      <c r="AL112" s="203" t="n"/>
      <c r="AM112" s="203" t="n"/>
      <c r="AN112" s="203" t="n"/>
      <c r="AP112" s="120" t="n">
        <v>0</v>
      </c>
      <c r="AQ112" s="120" t="n">
        <v>5</v>
      </c>
      <c r="AR112" s="120" t="n">
        <v>10</v>
      </c>
      <c r="AS112" s="120" t="n">
        <v>15</v>
      </c>
      <c r="AU112" s="210">
        <f>+COUNTIF($C112:$AJ112,AP112)</f>
        <v/>
      </c>
      <c r="AV112" s="210">
        <f>+COUNTIF($C112:$AJ112,AQ112)</f>
        <v/>
      </c>
      <c r="AW112" s="210">
        <f>+COUNTIF($C112:$AJ112,AR112)</f>
        <v/>
      </c>
      <c r="AX112" s="210">
        <f>+COUNTIF($C112:$AJ112,AS112)</f>
        <v/>
      </c>
      <c r="AY112" s="168">
        <f>+SUM(AU112:AX112)</f>
        <v/>
      </c>
    </row>
    <row r="113">
      <c r="A113" s="196" t="n"/>
      <c r="B113" s="265" t="inlineStr">
        <is>
          <t>I даражали асосий капиталнинг монандлик коэффициенти</t>
        </is>
      </c>
      <c r="C113" s="201">
        <f>+C99</f>
        <v/>
      </c>
      <c r="D113" s="201">
        <f>+D99</f>
        <v/>
      </c>
      <c r="E113" s="201">
        <f>+E99</f>
        <v/>
      </c>
      <c r="F113" s="201">
        <f>+F99</f>
        <v/>
      </c>
      <c r="G113" s="201">
        <f>+G99</f>
        <v/>
      </c>
      <c r="H113" s="201">
        <f>+H99</f>
        <v/>
      </c>
      <c r="I113" s="201">
        <f>+I99</f>
        <v/>
      </c>
      <c r="J113" s="201">
        <f>+J99</f>
        <v/>
      </c>
      <c r="K113" s="201">
        <f>+K99</f>
        <v/>
      </c>
      <c r="L113" s="201">
        <f>+L99</f>
        <v/>
      </c>
      <c r="M113" s="201">
        <f>+M99</f>
        <v/>
      </c>
      <c r="N113" s="201">
        <f>+N99</f>
        <v/>
      </c>
      <c r="O113" s="201">
        <f>+O99</f>
        <v/>
      </c>
      <c r="P113" s="201">
        <f>+P99</f>
        <v/>
      </c>
      <c r="Q113" s="201">
        <f>+Q99</f>
        <v/>
      </c>
      <c r="R113" s="201">
        <f>+R99</f>
        <v/>
      </c>
      <c r="S113" s="201">
        <f>+S99</f>
        <v/>
      </c>
      <c r="T113" s="201">
        <f>+T99</f>
        <v/>
      </c>
      <c r="U113" s="201">
        <f>+U99</f>
        <v/>
      </c>
      <c r="V113" s="201">
        <f>+V99</f>
        <v/>
      </c>
      <c r="W113" s="201">
        <f>+W99</f>
        <v/>
      </c>
      <c r="X113" s="201">
        <f>+X99</f>
        <v/>
      </c>
      <c r="Y113" s="201">
        <f>+Y99</f>
        <v/>
      </c>
      <c r="Z113" s="201">
        <f>+Z99</f>
        <v/>
      </c>
      <c r="AA113" s="201">
        <f>+AA99</f>
        <v/>
      </c>
      <c r="AB113" s="201">
        <f>+AB99</f>
        <v/>
      </c>
      <c r="AC113" s="201">
        <f>+AC99</f>
        <v/>
      </c>
      <c r="AD113" s="201">
        <f>+AD99</f>
        <v/>
      </c>
      <c r="AE113" s="201">
        <f>+AE99</f>
        <v/>
      </c>
      <c r="AF113" s="201">
        <f>+AF99</f>
        <v/>
      </c>
      <c r="AG113" s="201">
        <f>+AG99</f>
        <v/>
      </c>
      <c r="AH113" s="201">
        <f>+AH99</f>
        <v/>
      </c>
      <c r="AI113" s="201">
        <f>+AI99</f>
        <v/>
      </c>
      <c r="AJ113" s="202">
        <f>+AJ99</f>
        <v/>
      </c>
      <c r="AK113" s="202">
        <f>+AK99</f>
        <v/>
      </c>
      <c r="AL113" s="203">
        <f>+AVERAGE(C113:AJ113)</f>
        <v/>
      </c>
      <c r="AM113" s="203">
        <f>+MAX(C113:AJ113)</f>
        <v/>
      </c>
      <c r="AN113" s="203">
        <f>+MIN(C113:AJ113)</f>
        <v/>
      </c>
      <c r="AP113" s="120" t="inlineStr">
        <is>
          <t>&lt;15%</t>
        </is>
      </c>
      <c r="AQ113" s="120" t="inlineStr">
        <is>
          <t>15%&lt;=…&lt;25%</t>
        </is>
      </c>
      <c r="AR113" s="120" t="inlineStr">
        <is>
          <t>25%&lt;=…&lt;35%</t>
        </is>
      </c>
      <c r="AS113" s="121" t="inlineStr">
        <is>
          <t>&gt;=35%</t>
        </is>
      </c>
    </row>
    <row r="114">
      <c r="A114" s="196" t="n"/>
      <c r="B114" s="294" t="n"/>
      <c r="C114" s="122">
        <f>IF(C113&gt;0,IF(AND(C113&gt;0%,C113&lt;$H$150),$H$151,IF(AND(C113&gt;=$I$150,C113&lt;$J$150),$I$151,IF(AND(C113&gt;=$J$150,C113&lt;$K$150),$J$151,$K$151))),0)</f>
        <v/>
      </c>
      <c r="D114" s="122">
        <f>IF(D113&gt;0,IF(AND(D113&gt;0%,D113&lt;$H$150),$H$151,IF(AND(D113&gt;=$I$150,D113&lt;$J$150),$I$151,IF(AND(D113&gt;=$J$150,D113&lt;$K$150),$J$151,$K$151))),0)</f>
        <v/>
      </c>
      <c r="E114" s="122">
        <f>IF(E113&gt;0,IF(AND(E113&gt;0%,E113&lt;$H$150),$H$151,IF(AND(E113&gt;=$I$150,E113&lt;$J$150),$I$151,IF(AND(E113&gt;=$J$150,E113&lt;$K$150),$J$151,$K$151))),0)</f>
        <v/>
      </c>
      <c r="F114" s="122">
        <f>IF(F113&gt;0,IF(AND(F113&gt;0%,F113&lt;$H$150),$H$151,IF(AND(F113&gt;=$I$150,F113&lt;$J$150),$I$151,IF(AND(F113&gt;=$J$150,F113&lt;$K$150),$J$151,$K$151))),0)</f>
        <v/>
      </c>
      <c r="G114" s="122">
        <f>IF(G113&gt;0,IF(AND(G113&gt;0%,G113&lt;$H$150),$H$151,IF(AND(G113&gt;=$I$150,G113&lt;$J$150),$I$151,IF(AND(G113&gt;=$J$150,G113&lt;$K$150),$J$151,$K$151))),0)</f>
        <v/>
      </c>
      <c r="H114" s="122">
        <f>IF(H113&gt;0,IF(AND(H113&gt;0%,H113&lt;$H$150),$H$151,IF(AND(H113&gt;=$I$150,H113&lt;$J$150),$I$151,IF(AND(H113&gt;=$J$150,H113&lt;$K$150),$J$151,$K$151))),0)</f>
        <v/>
      </c>
      <c r="I114" s="122">
        <f>IF(I113&gt;0,IF(AND(I113&gt;0%,I113&lt;$H$150),$H$151,IF(AND(I113&gt;=$I$150,I113&lt;$J$150),$I$151,IF(AND(I113&gt;=$J$150,I113&lt;$K$150),$J$151,$K$151))),0)</f>
        <v/>
      </c>
      <c r="J114" s="122">
        <f>IF(J113&gt;0,IF(AND(J113&gt;0%,J113&lt;$H$150),$H$151,IF(AND(J113&gt;=$I$150,J113&lt;$J$150),$I$151,IF(AND(J113&gt;=$J$150,J113&lt;$K$150),$J$151,$K$151))),0)</f>
        <v/>
      </c>
      <c r="K114" s="122">
        <f>IF(K113&gt;0,IF(AND(K113&gt;0%,K113&lt;$H$150),$H$151,IF(AND(K113&gt;=$I$150,K113&lt;$J$150),$I$151,IF(AND(K113&gt;=$J$150,K113&lt;$K$150),$J$151,$K$151))),0)</f>
        <v/>
      </c>
      <c r="L114" s="122">
        <f>IF(L113&gt;0,IF(AND(L113&gt;0%,L113&lt;$H$150),$H$151,IF(AND(L113&gt;=$I$150,L113&lt;$J$150),$I$151,IF(AND(L113&gt;=$J$150,L113&lt;$K$150),$J$151,$K$151))),0)</f>
        <v/>
      </c>
      <c r="M114" s="122">
        <f>IF(M113&gt;0,IF(AND(M113&gt;0%,M113&lt;$H$150),$H$151,IF(AND(M113&gt;=$I$150,M113&lt;$J$150),$I$151,IF(AND(M113&gt;=$J$150,M113&lt;$K$150),$J$151,$K$151))),0)</f>
        <v/>
      </c>
      <c r="N114" s="122">
        <f>IF(N113&gt;0,IF(AND(N113&gt;0%,N113&lt;$H$150),$H$151,IF(AND(N113&gt;=$I$150,N113&lt;$J$150),$I$151,IF(AND(N113&gt;=$J$150,N113&lt;$K$150),$J$151,$K$151))),0)</f>
        <v/>
      </c>
      <c r="O114" s="122">
        <f>IF(O113&gt;0,IF(AND(O113&gt;0%,O113&lt;$H$150),$H$151,IF(AND(O113&gt;=$I$150,O113&lt;$J$150),$I$151,IF(AND(O113&gt;=$J$150,O113&lt;$K$150),$J$151,$K$151))),0)</f>
        <v/>
      </c>
      <c r="P114" s="122">
        <f>IF(P113&gt;0,IF(AND(P113&gt;0%,P113&lt;$H$150),$H$151,IF(AND(P113&gt;=$I$150,P113&lt;$J$150),$I$151,IF(AND(P113&gt;=$J$150,P113&lt;$K$150),$J$151,$K$151))),0)</f>
        <v/>
      </c>
      <c r="Q114" s="122">
        <f>IF(Q113&gt;0,IF(AND(Q113&gt;0%,Q113&lt;$H$150),$H$151,IF(AND(Q113&gt;=$I$150,Q113&lt;$J$150),$I$151,IF(AND(Q113&gt;=$J$150,Q113&lt;$K$150),$J$151,$K$151))),0)</f>
        <v/>
      </c>
      <c r="R114" s="122">
        <f>IF(R113&gt;0,IF(AND(R113&gt;0%,R113&lt;$H$150),$H$151,IF(AND(R113&gt;=$I$150,R113&lt;$J$150),$I$151,IF(AND(R113&gt;=$J$150,R113&lt;$K$150),$J$151,$K$151))),0)</f>
        <v/>
      </c>
      <c r="S114" s="122">
        <f>IF(S113&gt;0,IF(AND(S113&gt;0%,S113&lt;$H$150),$H$151,IF(AND(S113&gt;=$I$150,S113&lt;$J$150),$I$151,IF(AND(S113&gt;=$J$150,S113&lt;$K$150),$J$151,$K$151))),0)</f>
        <v/>
      </c>
      <c r="T114" s="122">
        <f>IF(T113&gt;0,IF(AND(T113&gt;0%,T113&lt;$H$150),$H$151,IF(AND(T113&gt;=$I$150,T113&lt;$J$150),$I$151,IF(AND(T113&gt;=$J$150,T113&lt;$K$150),$J$151,$K$151))),0)</f>
        <v/>
      </c>
      <c r="U114" s="122">
        <f>IF(U113&gt;0,IF(AND(U113&gt;0%,U113&lt;$H$150),$H$151,IF(AND(U113&gt;=$I$150,U113&lt;$J$150),$I$151,IF(AND(U113&gt;=$J$150,U113&lt;$K$150),$J$151,$K$151))),0)</f>
        <v/>
      </c>
      <c r="V114" s="122">
        <f>IF(V113&gt;0,IF(AND(V113&gt;0%,V113&lt;$H$150),$H$151,IF(AND(V113&gt;=$I$150,V113&lt;$J$150),$I$151,IF(AND(V113&gt;=$J$150,V113&lt;$K$150),$J$151,$K$151))),0)</f>
        <v/>
      </c>
      <c r="W114" s="122">
        <f>IF(W113&gt;0,IF(AND(W113&gt;0%,W113&lt;$H$150),$H$151,IF(AND(W113&gt;=$I$150,W113&lt;$J$150),$I$151,IF(AND(W113&gt;=$J$150,W113&lt;$K$150),$J$151,$K$151))),0)</f>
        <v/>
      </c>
      <c r="X114" s="122">
        <f>IF(X113&gt;0,IF(AND(X113&gt;0%,X113&lt;$H$150),$H$151,IF(AND(X113&gt;=$I$150,X113&lt;$J$150),$I$151,IF(AND(X113&gt;=$J$150,X113&lt;$K$150),$J$151,$K$151))),0)</f>
        <v/>
      </c>
      <c r="Y114" s="122">
        <f>IF(Y113&gt;0,IF(AND(Y113&gt;0%,Y113&lt;$H$150),$H$151,IF(AND(Y113&gt;=$I$150,Y113&lt;$J$150),$I$151,IF(AND(Y113&gt;=$J$150,Y113&lt;$K$150),$J$151,$K$151))),0)</f>
        <v/>
      </c>
      <c r="Z114" s="122">
        <f>IF(Z113&gt;0,IF(AND(Z113&gt;0%,Z113&lt;$H$150),$H$151,IF(AND(Z113&gt;=$I$150,Z113&lt;$J$150),$I$151,IF(AND(Z113&gt;=$J$150,Z113&lt;$K$150),$J$151,$K$151))),0)</f>
        <v/>
      </c>
      <c r="AA114" s="122">
        <f>IF(AA113&gt;0,IF(AND(AA113&gt;0%,AA113&lt;$H$150),$H$151,IF(AND(AA113&gt;=$I$150,AA113&lt;$J$150),$I$151,IF(AND(AA113&gt;=$J$150,AA113&lt;$K$150),$J$151,$K$151))),0)</f>
        <v/>
      </c>
      <c r="AB114" s="122">
        <f>IF(AB113&gt;0,IF(AND(AB113&gt;0%,AB113&lt;$H$150),$H$151,IF(AND(AB113&gt;=$I$150,AB113&lt;$J$150),$I$151,IF(AND(AB113&gt;=$J$150,AB113&lt;$K$150),$J$151,$K$151))),0)</f>
        <v/>
      </c>
      <c r="AC114" s="122">
        <f>IF(AC113&gt;0,IF(AND(AC113&gt;0%,AC113&lt;$H$150),$H$151,IF(AND(AC113&gt;=$I$150,AC113&lt;$J$150),$I$151,IF(AND(AC113&gt;=$J$150,AC113&lt;$K$150),$J$151,$K$151))),0)</f>
        <v/>
      </c>
      <c r="AD114" s="122">
        <f>IF(AD113&gt;0,IF(AND(AD113&gt;0%,AD113&lt;$H$150),$H$151,IF(AND(AD113&gt;=$I$150,AD113&lt;$J$150),$I$151,IF(AND(AD113&gt;=$J$150,AD113&lt;$K$150),$J$151,$K$151))),0)</f>
        <v/>
      </c>
      <c r="AE114" s="122">
        <f>IF(AE113&gt;0,IF(AND(AE113&gt;0%,AE113&lt;$H$150),$H$151,IF(AND(AE113&gt;=$I$150,AE113&lt;$J$150),$I$151,IF(AND(AE113&gt;=$J$150,AE113&lt;$K$150),$J$151,$K$151))),0)</f>
        <v/>
      </c>
      <c r="AF114" s="122">
        <f>IF(AF113&gt;0,IF(AND(AF113&gt;0%,AF113&lt;$H$150),$H$151,IF(AND(AF113&gt;=$I$150,AF113&lt;$J$150),$I$151,IF(AND(AF113&gt;=$J$150,AF113&lt;$K$150),$J$151,$K$151))),0)</f>
        <v/>
      </c>
      <c r="AG114" s="122">
        <f>IF(AG113&gt;0,IF(AND(AG113&gt;0%,AG113&lt;$H$150),$H$151,IF(AND(AG113&gt;=$I$150,AG113&lt;$J$150),$I$151,IF(AND(AG113&gt;=$J$150,AG113&lt;$K$150),$J$151,$K$151))),0)</f>
        <v/>
      </c>
      <c r="AH114" s="122">
        <f>IF(AH113&gt;0,IF(AND(AH113&gt;0%,AH113&lt;$H$150),$H$151,IF(AND(AH113&gt;=$I$150,AH113&lt;$J$150),$I$151,IF(AND(AH113&gt;=$J$150,AH113&lt;$K$150),$J$151,$K$151))),0)</f>
        <v/>
      </c>
      <c r="AI114" s="122">
        <f>IF(AI113&gt;0,IF(AND(AI113&gt;0%,AI113&lt;$H$150),$H$151,IF(AND(AI113&gt;=$I$150,AI113&lt;$J$150),$I$151,IF(AND(AI113&gt;=$J$150,AI113&lt;$K$150),$J$151,$K$151))),0)</f>
        <v/>
      </c>
      <c r="AJ114" s="174">
        <f>IF(AJ113&gt;0,IF(AND(AJ113&gt;0%,AJ113&lt;$H$150),$H$151,IF(AND(AJ113&gt;=$I$150,AJ113&lt;$J$150),$I$151,IF(AND(AJ113&gt;=$J$150,AJ113&lt;$K$150),$J$151,$K$151))),0)</f>
        <v/>
      </c>
      <c r="AK114" s="174">
        <f>IF(AK113&gt;0,IF(AND(AK113&gt;0%,AK113&lt;$H$150),$H$151,IF(AND(AK113&gt;=$I$150,AK113&lt;$J$150),$I$151,IF(AND(AK113&gt;=$J$150,AK113&lt;$K$150),$J$151,$K$151))),0)</f>
        <v/>
      </c>
      <c r="AL114" s="203" t="n"/>
      <c r="AM114" s="203" t="n"/>
      <c r="AN114" s="203" t="n"/>
      <c r="AP114" s="120" t="n">
        <v>0</v>
      </c>
      <c r="AQ114" s="120" t="n">
        <v>5</v>
      </c>
      <c r="AR114" s="120" t="n">
        <v>10</v>
      </c>
      <c r="AS114" s="120" t="n">
        <v>15</v>
      </c>
      <c r="AU114" s="210">
        <f>+COUNTIF($C114:$AJ114,AP114)</f>
        <v/>
      </c>
      <c r="AV114" s="210">
        <f>+COUNTIF($C114:$AJ114,AQ114)</f>
        <v/>
      </c>
      <c r="AW114" s="210">
        <f>+COUNTIF($C114:$AJ114,AR114)</f>
        <v/>
      </c>
      <c r="AX114" s="210">
        <f>+COUNTIF($C114:$AJ114,AS114)</f>
        <v/>
      </c>
      <c r="AY114" s="168">
        <f>+SUM(AU114:AX114)</f>
        <v/>
      </c>
    </row>
    <row r="115">
      <c r="A115" s="196" t="n"/>
      <c r="B115" s="295" t="inlineStr">
        <is>
          <t>Левераж</t>
        </is>
      </c>
      <c r="C115" s="175">
        <f>+C100</f>
        <v/>
      </c>
      <c r="D115" s="175">
        <f>+D100</f>
        <v/>
      </c>
      <c r="E115" s="175">
        <f>+E100</f>
        <v/>
      </c>
      <c r="F115" s="175">
        <f>+F100</f>
        <v/>
      </c>
      <c r="G115" s="175">
        <f>+G100</f>
        <v/>
      </c>
      <c r="H115" s="175">
        <f>+H100</f>
        <v/>
      </c>
      <c r="I115" s="175">
        <f>+I100</f>
        <v/>
      </c>
      <c r="J115" s="175">
        <f>+J100</f>
        <v/>
      </c>
      <c r="K115" s="175">
        <f>+K100</f>
        <v/>
      </c>
      <c r="L115" s="175">
        <f>+L100</f>
        <v/>
      </c>
      <c r="M115" s="175">
        <f>+M100</f>
        <v/>
      </c>
      <c r="N115" s="175">
        <f>+N100</f>
        <v/>
      </c>
      <c r="O115" s="175">
        <f>+O100</f>
        <v/>
      </c>
      <c r="P115" s="175">
        <f>+P100</f>
        <v/>
      </c>
      <c r="Q115" s="175">
        <f>+Q100</f>
        <v/>
      </c>
      <c r="R115" s="175">
        <f>+R100</f>
        <v/>
      </c>
      <c r="S115" s="175">
        <f>+S100</f>
        <v/>
      </c>
      <c r="T115" s="175">
        <f>+T100</f>
        <v/>
      </c>
      <c r="U115" s="175">
        <f>+U100</f>
        <v/>
      </c>
      <c r="V115" s="175">
        <f>+V100</f>
        <v/>
      </c>
      <c r="W115" s="175">
        <f>+W100</f>
        <v/>
      </c>
      <c r="X115" s="175">
        <f>+X100</f>
        <v/>
      </c>
      <c r="Y115" s="175">
        <f>+Y100</f>
        <v/>
      </c>
      <c r="Z115" s="175">
        <f>+Z100</f>
        <v/>
      </c>
      <c r="AA115" s="175">
        <f>+AA100</f>
        <v/>
      </c>
      <c r="AB115" s="175">
        <f>+AB100</f>
        <v/>
      </c>
      <c r="AC115" s="175">
        <f>+AC100</f>
        <v/>
      </c>
      <c r="AD115" s="175">
        <f>+AD100</f>
        <v/>
      </c>
      <c r="AE115" s="175">
        <f>+AE100</f>
        <v/>
      </c>
      <c r="AF115" s="175">
        <f>+AF100</f>
        <v/>
      </c>
      <c r="AG115" s="175">
        <f>+AG100</f>
        <v/>
      </c>
      <c r="AH115" s="175">
        <f>+AH100</f>
        <v/>
      </c>
      <c r="AI115" s="175">
        <f>+AI100</f>
        <v/>
      </c>
      <c r="AJ115" s="178">
        <f>+AJ100</f>
        <v/>
      </c>
      <c r="AK115" s="178">
        <f>+AK100</f>
        <v/>
      </c>
      <c r="AL115" s="203" t="n"/>
      <c r="AM115" s="203" t="n"/>
      <c r="AN115" s="203" t="n"/>
      <c r="AP115" s="120" t="n"/>
      <c r="AQ115" s="120" t="n"/>
      <c r="AR115" s="120" t="n"/>
      <c r="AS115" s="120" t="n"/>
    </row>
    <row r="116" ht="15.75" customHeight="1" thickBot="1">
      <c r="A116" s="196" t="n"/>
      <c r="B116" s="296" t="n"/>
      <c r="C116" s="124">
        <f>IF(C115&gt;0,IF(AND(C115&gt;0%,C115&lt;$H$152),$H$153,IF(AND(C115&gt;=$I$152,C115&lt;$J$152),$I$153,IF(AND(C115&gt;=$J$152,C115&lt;$K$152),$J$153,$K$153))),0)</f>
        <v/>
      </c>
      <c r="D116" s="124">
        <f>IF(D115&gt;0,IF(AND(D115&gt;0%,D115&lt;$H$152),$H$153,IF(AND(D115&gt;=$I$152,D115&lt;$J$152),$I$153,IF(AND(D115&gt;=$J$152,D115&lt;$K$152),$J$153,$K$153))),0)</f>
        <v/>
      </c>
      <c r="E116" s="124">
        <f>IF(E115&gt;0,IF(AND(E115&gt;0%,E115&lt;$H$152),$H$153,IF(AND(E115&gt;=$I$152,E115&lt;$J$152),$I$153,IF(AND(E115&gt;=$J$152,E115&lt;$K$152),$J$153,$K$153))),0)</f>
        <v/>
      </c>
      <c r="F116" s="124">
        <f>IF(F115&gt;0,IF(AND(F115&gt;0%,F115&lt;$H$152),$H$153,IF(AND(F115&gt;=$I$152,F115&lt;$J$152),$I$153,IF(AND(F115&gt;=$J$152,F115&lt;$K$152),$J$153,$K$153))),0)</f>
        <v/>
      </c>
      <c r="G116" s="124">
        <f>IF(G115&gt;0,IF(AND(G115&gt;0%,G115&lt;$H$152),$H$153,IF(AND(G115&gt;=$I$152,G115&lt;$J$152),$I$153,IF(AND(G115&gt;=$J$152,G115&lt;$K$152),$J$153,$K$153))),0)</f>
        <v/>
      </c>
      <c r="H116" s="124">
        <f>IF(H115&gt;0,IF(AND(H115&gt;0%,H115&lt;$H$152),$H$153,IF(AND(H115&gt;=$I$152,H115&lt;$J$152),$I$153,IF(AND(H115&gt;=$J$152,H115&lt;$K$152),$J$153,$K$153))),0)</f>
        <v/>
      </c>
      <c r="I116" s="124">
        <f>IF(I115&gt;0,IF(AND(I115&gt;0%,I115&lt;$H$152),$H$153,IF(AND(I115&gt;=$I$152,I115&lt;$J$152),$I$153,IF(AND(I115&gt;=$J$152,I115&lt;$K$152),$J$153,$K$153))),0)</f>
        <v/>
      </c>
      <c r="J116" s="124">
        <f>IF(J115&gt;0,IF(AND(J115&gt;0%,J115&lt;$H$152),$H$153,IF(AND(J115&gt;=$I$152,J115&lt;$J$152),$I$153,IF(AND(J115&gt;=$J$152,J115&lt;$K$152),$J$153,$K$153))),0)</f>
        <v/>
      </c>
      <c r="K116" s="124">
        <f>IF(K115&gt;0,IF(AND(K115&gt;0%,K115&lt;$H$152),$H$153,IF(AND(K115&gt;=$I$152,K115&lt;$J$152),$I$153,IF(AND(K115&gt;=$J$152,K115&lt;$K$152),$J$153,$K$153))),0)</f>
        <v/>
      </c>
      <c r="L116" s="124">
        <f>IF(L115&gt;0,IF(AND(L115&gt;0%,L115&lt;$H$152),$H$153,IF(AND(L115&gt;=$I$152,L115&lt;$J$152),$I$153,IF(AND(L115&gt;=$J$152,L115&lt;$K$152),$J$153,$K$153))),0)</f>
        <v/>
      </c>
      <c r="M116" s="124">
        <f>IF(M115&gt;0,IF(AND(M115&gt;0%,M115&lt;$H$152),$H$153,IF(AND(M115&gt;=$I$152,M115&lt;$J$152),$I$153,IF(AND(M115&gt;=$J$152,M115&lt;$K$152),$J$153,$K$153))),0)</f>
        <v/>
      </c>
      <c r="N116" s="124">
        <f>IF(N115&gt;0,IF(AND(N115&gt;0%,N115&lt;$H$152),$H$153,IF(AND(N115&gt;=$I$152,N115&lt;$J$152),$I$153,IF(AND(N115&gt;=$J$152,N115&lt;$K$152),$J$153,$K$153))),0)</f>
        <v/>
      </c>
      <c r="O116" s="124">
        <f>IF(O115&gt;0,IF(AND(O115&gt;0%,O115&lt;$H$152),$H$153,IF(AND(O115&gt;=$I$152,O115&lt;$J$152),$I$153,IF(AND(O115&gt;=$J$152,O115&lt;$K$152),$J$153,$K$153))),0)</f>
        <v/>
      </c>
      <c r="P116" s="124">
        <f>IF(P115&gt;0,IF(AND(P115&gt;0%,P115&lt;$H$152),$H$153,IF(AND(P115&gt;=$I$152,P115&lt;$J$152),$I$153,IF(AND(P115&gt;=$J$152,P115&lt;$K$152),$J$153,$K$153))),0)</f>
        <v/>
      </c>
      <c r="Q116" s="124">
        <f>IF(Q115&gt;0,IF(AND(Q115&gt;0%,Q115&lt;$H$152),$H$153,IF(AND(Q115&gt;=$I$152,Q115&lt;$J$152),$I$153,IF(AND(Q115&gt;=$J$152,Q115&lt;$K$152),$J$153,$K$153))),0)</f>
        <v/>
      </c>
      <c r="R116" s="124">
        <f>IF(R115&gt;0,IF(AND(R115&gt;0%,R115&lt;$H$152),$H$153,IF(AND(R115&gt;=$I$152,R115&lt;$J$152),$I$153,IF(AND(R115&gt;=$J$152,R115&lt;$K$152),$J$153,$K$153))),0)</f>
        <v/>
      </c>
      <c r="S116" s="124">
        <f>IF(S115&gt;0,IF(AND(S115&gt;0%,S115&lt;$H$152),$H$153,IF(AND(S115&gt;=$I$152,S115&lt;$J$152),$I$153,IF(AND(S115&gt;=$J$152,S115&lt;$K$152),$J$153,$K$153))),0)</f>
        <v/>
      </c>
      <c r="T116" s="124">
        <f>IF(T115&gt;0,IF(AND(T115&gt;0%,T115&lt;$H$152),$H$153,IF(AND(T115&gt;=$I$152,T115&lt;$J$152),$I$153,IF(AND(T115&gt;=$J$152,T115&lt;$K$152),$J$153,$K$153))),0)</f>
        <v/>
      </c>
      <c r="U116" s="124">
        <f>IF(U115&gt;0,IF(AND(U115&gt;0%,U115&lt;$H$152),$H$153,IF(AND(U115&gt;=$I$152,U115&lt;$J$152),$I$153,IF(AND(U115&gt;=$J$152,U115&lt;$K$152),$J$153,$K$153))),0)</f>
        <v/>
      </c>
      <c r="V116" s="124">
        <f>IF(V115&gt;0,IF(AND(V115&gt;0%,V115&lt;$H$152),$H$153,IF(AND(V115&gt;=$I$152,V115&lt;$J$152),$I$153,IF(AND(V115&gt;=$J$152,V115&lt;$K$152),$J$153,$K$153))),0)</f>
        <v/>
      </c>
      <c r="W116" s="124">
        <f>IF(W115&gt;0,IF(AND(W115&gt;0%,W115&lt;$H$152),$H$153,IF(AND(W115&gt;=$I$152,W115&lt;$J$152),$I$153,IF(AND(W115&gt;=$J$152,W115&lt;$K$152),$J$153,$K$153))),0)</f>
        <v/>
      </c>
      <c r="X116" s="124">
        <f>IF(X115&gt;0,IF(AND(X115&gt;0%,X115&lt;$H$152),$H$153,IF(AND(X115&gt;=$I$152,X115&lt;$J$152),$I$153,IF(AND(X115&gt;=$J$152,X115&lt;$K$152),$J$153,$K$153))),0)</f>
        <v/>
      </c>
      <c r="Y116" s="124">
        <f>IF(Y115&gt;0,IF(AND(Y115&gt;0%,Y115&lt;$H$152),$H$153,IF(AND(Y115&gt;=$I$152,Y115&lt;$J$152),$I$153,IF(AND(Y115&gt;=$J$152,Y115&lt;$K$152),$J$153,$K$153))),0)</f>
        <v/>
      </c>
      <c r="Z116" s="124">
        <f>IF(Z115&gt;0,IF(AND(Z115&gt;0%,Z115&lt;$H$152),$H$153,IF(AND(Z115&gt;=$I$152,Z115&lt;$J$152),$I$153,IF(AND(Z115&gt;=$J$152,Z115&lt;$K$152),$J$153,$K$153))),0)</f>
        <v/>
      </c>
      <c r="AA116" s="124">
        <f>IF(AA115&gt;0,IF(AND(AA115&gt;0%,AA115&lt;$H$152),$H$153,IF(AND(AA115&gt;=$I$152,AA115&lt;$J$152),$I$153,IF(AND(AA115&gt;=$J$152,AA115&lt;$K$152),$J$153,$K$153))),0)</f>
        <v/>
      </c>
      <c r="AB116" s="124">
        <f>IF(AB115&gt;0,IF(AND(AB115&gt;0%,AB115&lt;$H$152),$H$153,IF(AND(AB115&gt;=$I$152,AB115&lt;$J$152),$I$153,IF(AND(AB115&gt;=$J$152,AB115&lt;$K$152),$J$153,$K$153))),0)</f>
        <v/>
      </c>
      <c r="AC116" s="124">
        <f>IF(AC115&gt;0,IF(AND(AC115&gt;0%,AC115&lt;$H$152),$H$153,IF(AND(AC115&gt;=$I$152,AC115&lt;$J$152),$I$153,IF(AND(AC115&gt;=$J$152,AC115&lt;$K$152),$J$153,$K$153))),0)</f>
        <v/>
      </c>
      <c r="AD116" s="124">
        <f>IF(AD115&gt;0,IF(AND(AD115&gt;0%,AD115&lt;$H$152),$H$153,IF(AND(AD115&gt;=$I$152,AD115&lt;$J$152),$I$153,IF(AND(AD115&gt;=$J$152,AD115&lt;$K$152),$J$153,$K$153))),0)</f>
        <v/>
      </c>
      <c r="AE116" s="124">
        <f>IF(AE115&gt;0,IF(AND(AE115&gt;0%,AE115&lt;$H$152),$H$153,IF(AND(AE115&gt;=$I$152,AE115&lt;$J$152),$I$153,IF(AND(AE115&gt;=$J$152,AE115&lt;$K$152),$J$153,$K$153))),0)</f>
        <v/>
      </c>
      <c r="AF116" s="124">
        <f>IF(AF115&gt;0,IF(AND(AF115&gt;0%,AF115&lt;$H$152),$H$153,IF(AND(AF115&gt;=$I$152,AF115&lt;$J$152),$I$153,IF(AND(AF115&gt;=$J$152,AF115&lt;$K$152),$J$153,$K$153))),0)</f>
        <v/>
      </c>
      <c r="AG116" s="124">
        <f>IF(AG115&gt;0,IF(AND(AG115&gt;0%,AG115&lt;$H$152),$H$153,IF(AND(AG115&gt;=$I$152,AG115&lt;$J$152),$I$153,IF(AND(AG115&gt;=$J$152,AG115&lt;$K$152),$J$153,$K$153))),0)</f>
        <v/>
      </c>
      <c r="AH116" s="124">
        <f>IF(AH115&gt;0,IF(AND(AH115&gt;0%,AH115&lt;$H$152),$H$153,IF(AND(AH115&gt;=$I$152,AH115&lt;$J$152),$I$153,IF(AND(AH115&gt;=$J$152,AH115&lt;$K$152),$J$153,$K$153))),0)</f>
        <v/>
      </c>
      <c r="AI116" s="124">
        <f>IF(AI115&gt;0,IF(AND(AI115&gt;0%,AI115&lt;$H$152),$H$153,IF(AND(AI115&gt;=$I$152,AI115&lt;$J$152),$I$153,IF(AND(AI115&gt;=$J$152,AI115&lt;$K$152),$J$153,$K$153))),0)</f>
        <v/>
      </c>
      <c r="AJ116" s="125">
        <f>IF(AJ115&gt;0,IF(AND(AJ115&gt;0%,AJ115&lt;$H$152),$H$153,IF(AND(AJ115&gt;=$I$152,AJ115&lt;$J$152),$I$153,IF(AND(AJ115&gt;=$J$152,AJ115&lt;$K$152),$J$153,$K$153))),0)</f>
        <v/>
      </c>
      <c r="AK116" s="125">
        <f>IF(AK115&gt;0,IF(AND(AK115&gt;0%,AK115&lt;$H$152),$H$153,IF(AND(AK115&gt;=$I$152,AK115&lt;$J$152),$I$153,IF(AND(AK115&gt;=$J$152,AK115&lt;$K$152),$J$153,$K$153))),0)</f>
        <v/>
      </c>
      <c r="AL116" s="203" t="n"/>
      <c r="AM116" s="203" t="n"/>
      <c r="AN116" s="203" t="n"/>
      <c r="AP116" s="120" t="n"/>
      <c r="AQ116" s="120" t="n"/>
      <c r="AR116" s="120" t="n"/>
      <c r="AS116" s="120" t="n"/>
    </row>
    <row r="117">
      <c r="A117" s="197" t="n"/>
      <c r="B117" s="173" t="inlineStr">
        <is>
          <t>Ликвидлик кўрсаткичи</t>
        </is>
      </c>
      <c r="C117" s="204" t="n"/>
      <c r="D117" s="204" t="n"/>
      <c r="E117" s="204" t="n"/>
      <c r="F117" s="204" t="n"/>
      <c r="G117" s="204" t="n"/>
      <c r="H117" s="204" t="n"/>
      <c r="I117" s="204" t="n"/>
      <c r="J117" s="204" t="n"/>
      <c r="K117" s="204" t="n"/>
      <c r="L117" s="204" t="n"/>
      <c r="M117" s="204" t="n"/>
      <c r="N117" s="204" t="n"/>
      <c r="O117" s="204" t="n"/>
      <c r="P117" s="204" t="n"/>
      <c r="Q117" s="204" t="n"/>
      <c r="R117" s="204" t="n"/>
      <c r="S117" s="204" t="n"/>
      <c r="T117" s="204" t="n"/>
      <c r="U117" s="204" t="n"/>
      <c r="V117" s="204" t="n"/>
      <c r="W117" s="204" t="n"/>
      <c r="X117" s="204" t="n"/>
      <c r="Y117" s="204" t="n"/>
      <c r="Z117" s="204" t="n"/>
      <c r="AA117" s="204" t="n"/>
      <c r="AB117" s="204" t="n"/>
      <c r="AC117" s="204" t="n"/>
      <c r="AD117" s="204" t="n"/>
      <c r="AE117" s="204" t="n"/>
      <c r="AF117" s="204" t="n"/>
      <c r="AG117" s="204" t="n"/>
      <c r="AH117" s="204" t="n"/>
      <c r="AI117" s="204" t="n"/>
      <c r="AJ117" s="205" t="n"/>
      <c r="AK117" s="205" t="n"/>
      <c r="AP117" s="120" t="n"/>
      <c r="AQ117" s="120" t="n"/>
      <c r="AR117" s="120" t="n"/>
      <c r="AS117" s="120" t="n"/>
    </row>
    <row r="118">
      <c r="A118" s="196" t="n"/>
      <c r="B118" s="266" t="inlineStr">
        <is>
          <t>Юқори ликвидли активларнинг жами активлардаги улуши</t>
        </is>
      </c>
      <c r="C118" s="201">
        <f>+C102</f>
        <v/>
      </c>
      <c r="D118" s="201">
        <f>+D102</f>
        <v/>
      </c>
      <c r="E118" s="201">
        <f>+E102</f>
        <v/>
      </c>
      <c r="F118" s="201">
        <f>+F102</f>
        <v/>
      </c>
      <c r="G118" s="201">
        <f>+G102</f>
        <v/>
      </c>
      <c r="H118" s="201">
        <f>+H102</f>
        <v/>
      </c>
      <c r="I118" s="201">
        <f>+I102</f>
        <v/>
      </c>
      <c r="J118" s="201">
        <f>+J102</f>
        <v/>
      </c>
      <c r="K118" s="201">
        <f>+K102</f>
        <v/>
      </c>
      <c r="L118" s="201">
        <f>+L102</f>
        <v/>
      </c>
      <c r="M118" s="201">
        <f>+M102</f>
        <v/>
      </c>
      <c r="N118" s="201">
        <f>+N102</f>
        <v/>
      </c>
      <c r="O118" s="201">
        <f>+O102</f>
        <v/>
      </c>
      <c r="P118" s="201">
        <f>+P102</f>
        <v/>
      </c>
      <c r="Q118" s="201">
        <f>+Q102</f>
        <v/>
      </c>
      <c r="R118" s="201">
        <f>+R102</f>
        <v/>
      </c>
      <c r="S118" s="201">
        <f>+S102</f>
        <v/>
      </c>
      <c r="T118" s="201">
        <f>+T102</f>
        <v/>
      </c>
      <c r="U118" s="201">
        <f>+U102</f>
        <v/>
      </c>
      <c r="V118" s="201">
        <f>+V102</f>
        <v/>
      </c>
      <c r="W118" s="201">
        <f>+W102</f>
        <v/>
      </c>
      <c r="X118" s="201">
        <f>+X102</f>
        <v/>
      </c>
      <c r="Y118" s="201">
        <f>+Y102</f>
        <v/>
      </c>
      <c r="Z118" s="201">
        <f>+Z102</f>
        <v/>
      </c>
      <c r="AA118" s="201">
        <f>+AA102</f>
        <v/>
      </c>
      <c r="AB118" s="201">
        <f>+AB102</f>
        <v/>
      </c>
      <c r="AC118" s="201">
        <f>+AC102</f>
        <v/>
      </c>
      <c r="AD118" s="201">
        <f>+AD102</f>
        <v/>
      </c>
      <c r="AE118" s="201">
        <f>+AE102</f>
        <v/>
      </c>
      <c r="AF118" s="201">
        <f>+AF102</f>
        <v/>
      </c>
      <c r="AG118" s="201">
        <f>+AG102</f>
        <v/>
      </c>
      <c r="AH118" s="201">
        <f>+AH102</f>
        <v/>
      </c>
      <c r="AI118" s="201">
        <f>+AI102</f>
        <v/>
      </c>
      <c r="AJ118" s="201">
        <f>+AJ102</f>
        <v/>
      </c>
      <c r="AK118" s="201">
        <f>+AK102</f>
        <v/>
      </c>
      <c r="AL118" s="203">
        <f>+AVERAGE(C118:AK118)</f>
        <v/>
      </c>
      <c r="AM118" s="203">
        <f>+MAX(C118:AJ118)</f>
        <v/>
      </c>
      <c r="AN118" s="203">
        <f>+MIN(C118:AJ118)</f>
        <v/>
      </c>
      <c r="AP118" s="120" t="inlineStr">
        <is>
          <t>&lt;30%</t>
        </is>
      </c>
      <c r="AQ118" s="120" t="inlineStr">
        <is>
          <t>30%&lt;=…&lt;40%</t>
        </is>
      </c>
      <c r="AR118" s="120" t="inlineStr">
        <is>
          <t>40%&lt;=…&lt;50%</t>
        </is>
      </c>
      <c r="AS118" s="121" t="inlineStr">
        <is>
          <t>&gt;=50%</t>
        </is>
      </c>
    </row>
    <row r="119">
      <c r="A119" s="196" t="n"/>
      <c r="B119" s="294" t="n"/>
      <c r="C119" s="122">
        <f>IF(C118&gt;0,IF(AND(C118&gt;0%,C118&lt;$H$155),$H$156,IF(AND(C118&gt;=$I$155,C118&lt;$J$155),$I$156,IF(AND(C118&gt;=$J$155,C118&lt;$K$155),$J$156,$K$156))),0)</f>
        <v/>
      </c>
      <c r="D119" s="122">
        <f>IF(D118&gt;0,IF(AND(D118&gt;0%,D118&lt;$H$155),$H$156,IF(AND(D118&gt;=$I$155,D118&lt;$J$155),$I$156,IF(AND(D118&gt;=$J$155,D118&lt;$K$155),$J$156,$K$156))),0)</f>
        <v/>
      </c>
      <c r="E119" s="122">
        <f>IF(E118&gt;0,IF(AND(E118&gt;0%,E118&lt;$H$155),$H$156,IF(AND(E118&gt;=$I$155,E118&lt;$J$155),$I$156,IF(AND(E118&gt;=$J$155,E118&lt;$K$155),$J$156,$K$156))),0)</f>
        <v/>
      </c>
      <c r="F119" s="122">
        <f>IF(F118&gt;0,IF(AND(F118&gt;0%,F118&lt;$H$155),$H$156,IF(AND(F118&gt;=$I$155,F118&lt;$J$155),$I$156,IF(AND(F118&gt;=$J$155,F118&lt;$K$155),$J$156,$K$156))),0)</f>
        <v/>
      </c>
      <c r="G119" s="122">
        <f>IF(G118&gt;0,IF(AND(G118&gt;0%,G118&lt;$H$155),$H$156,IF(AND(G118&gt;=$I$155,G118&lt;$J$155),$I$156,IF(AND(G118&gt;=$J$155,G118&lt;$K$155),$J$156,$K$156))),0)</f>
        <v/>
      </c>
      <c r="H119" s="122">
        <f>IF(H118&gt;0,IF(AND(H118&gt;0%,H118&lt;$H$155),$H$156,IF(AND(H118&gt;=$I$155,H118&lt;$J$155),$I$156,IF(AND(H118&gt;=$J$155,H118&lt;$K$155),$J$156,$K$156))),0)</f>
        <v/>
      </c>
      <c r="I119" s="122">
        <f>IF(I118&gt;0,IF(AND(I118&gt;0%,I118&lt;$H$155),$H$156,IF(AND(I118&gt;=$I$155,I118&lt;$J$155),$I$156,IF(AND(I118&gt;=$J$155,I118&lt;$K$155),$J$156,$K$156))),0)</f>
        <v/>
      </c>
      <c r="J119" s="122">
        <f>IF(J118&gt;0,IF(AND(J118&gt;0%,J118&lt;$H$155),$H$156,IF(AND(J118&gt;=$I$155,J118&lt;$J$155),$I$156,IF(AND(J118&gt;=$J$155,J118&lt;$K$155),$J$156,$K$156))),0)</f>
        <v/>
      </c>
      <c r="K119" s="122">
        <f>IF(K118&gt;0,IF(AND(K118&gt;0%,K118&lt;$H$155),$H$156,IF(AND(K118&gt;=$I$155,K118&lt;$J$155),$I$156,IF(AND(K118&gt;=$J$155,K118&lt;$K$155),$J$156,$K$156))),0)</f>
        <v/>
      </c>
      <c r="L119" s="122">
        <f>IF(L118&gt;0,IF(AND(L118&gt;0%,L118&lt;$H$155),$H$156,IF(AND(L118&gt;=$I$155,L118&lt;$J$155),$I$156,IF(AND(L118&gt;=$J$155,L118&lt;$K$155),$J$156,$K$156))),0)</f>
        <v/>
      </c>
      <c r="M119" s="122">
        <f>IF(M118&gt;0,IF(AND(M118&gt;0%,M118&lt;$H$155),$H$156,IF(AND(M118&gt;=$I$155,M118&lt;$J$155),$I$156,IF(AND(M118&gt;=$J$155,M118&lt;$K$155),$J$156,$K$156))),0)</f>
        <v/>
      </c>
      <c r="N119" s="122">
        <f>IF(N118&gt;0,IF(AND(N118&gt;0%,N118&lt;$H$155),$H$156,IF(AND(N118&gt;=$I$155,N118&lt;$J$155),$I$156,IF(AND(N118&gt;=$J$155,N118&lt;$K$155),$J$156,$K$156))),0)</f>
        <v/>
      </c>
      <c r="O119" s="122">
        <f>IF(O118&gt;0,IF(AND(O118&gt;0%,O118&lt;$H$155),$H$156,IF(AND(O118&gt;=$I$155,O118&lt;$J$155),$I$156,IF(AND(O118&gt;=$J$155,O118&lt;$K$155),$J$156,$K$156))),0)</f>
        <v/>
      </c>
      <c r="P119" s="122">
        <f>IF(P118&gt;0,IF(AND(P118&gt;0%,P118&lt;$H$155),$H$156,IF(AND(P118&gt;=$I$155,P118&lt;$J$155),$I$156,IF(AND(P118&gt;=$J$155,P118&lt;$K$155),$J$156,$K$156))),0)</f>
        <v/>
      </c>
      <c r="Q119" s="122">
        <f>IF(Q118&gt;0,IF(AND(Q118&gt;0%,Q118&lt;$H$155),$H$156,IF(AND(Q118&gt;=$I$155,Q118&lt;$J$155),$I$156,IF(AND(Q118&gt;=$J$155,Q118&lt;$K$155),$J$156,$K$156))),0)</f>
        <v/>
      </c>
      <c r="R119" s="122">
        <f>IF(R118&gt;0,IF(AND(R118&gt;0%,R118&lt;$H$155),$H$156,IF(AND(R118&gt;=$I$155,R118&lt;$J$155),$I$156,IF(AND(R118&gt;=$J$155,R118&lt;$K$155),$J$156,$K$156))),0)</f>
        <v/>
      </c>
      <c r="S119" s="122">
        <f>IF(S118&gt;0,IF(AND(S118&gt;0%,S118&lt;$H$155),$H$156,IF(AND(S118&gt;=$I$155,S118&lt;$J$155),$I$156,IF(AND(S118&gt;=$J$155,S118&lt;$K$155),$J$156,$K$156))),0)</f>
        <v/>
      </c>
      <c r="T119" s="122">
        <f>IF(T118&gt;0,IF(AND(T118&gt;0%,T118&lt;$H$155),$H$156,IF(AND(T118&gt;=$I$155,T118&lt;$J$155),$I$156,IF(AND(T118&gt;=$J$155,T118&lt;$K$155),$J$156,$K$156))),0)</f>
        <v/>
      </c>
      <c r="U119" s="122">
        <f>IF(U118&gt;0,IF(AND(U118&gt;0%,U118&lt;$H$155),$H$156,IF(AND(U118&gt;=$I$155,U118&lt;$J$155),$I$156,IF(AND(U118&gt;=$J$155,U118&lt;$K$155),$J$156,$K$156))),0)</f>
        <v/>
      </c>
      <c r="V119" s="122">
        <f>IF(V118&gt;0,IF(AND(V118&gt;0%,V118&lt;$H$155),$H$156,IF(AND(V118&gt;=$I$155,V118&lt;$J$155),$I$156,IF(AND(V118&gt;=$J$155,V118&lt;$K$155),$J$156,$K$156))),0)</f>
        <v/>
      </c>
      <c r="W119" s="122">
        <f>IF(W118&gt;0,IF(AND(W118&gt;0%,W118&lt;$H$155),$H$156,IF(AND(W118&gt;=$I$155,W118&lt;$J$155),$I$156,IF(AND(W118&gt;=$J$155,W118&lt;$K$155),$J$156,$K$156))),0)</f>
        <v/>
      </c>
      <c r="X119" s="122">
        <f>IF(X118&gt;0,IF(AND(X118&gt;0%,X118&lt;$H$155),$H$156,IF(AND(X118&gt;=$I$155,X118&lt;$J$155),$I$156,IF(AND(X118&gt;=$J$155,X118&lt;$K$155),$J$156,$K$156))),0)</f>
        <v/>
      </c>
      <c r="Y119" s="122">
        <f>IF(Y118&gt;0,IF(AND(Y118&gt;0%,Y118&lt;$H$155),$H$156,IF(AND(Y118&gt;=$I$155,Y118&lt;$J$155),$I$156,IF(AND(Y118&gt;=$J$155,Y118&lt;$K$155),$J$156,$K$156))),0)</f>
        <v/>
      </c>
      <c r="Z119" s="122">
        <f>IF(Z118&gt;0,IF(AND(Z118&gt;0%,Z118&lt;$H$155),$H$156,IF(AND(Z118&gt;=$I$155,Z118&lt;$J$155),$I$156,IF(AND(Z118&gt;=$J$155,Z118&lt;$K$155),$J$156,$K$156))),0)</f>
        <v/>
      </c>
      <c r="AA119" s="122">
        <f>IF(AA118&gt;0,IF(AND(AA118&gt;0%,AA118&lt;$H$155),$H$156,IF(AND(AA118&gt;=$I$155,AA118&lt;$J$155),$I$156,IF(AND(AA118&gt;=$J$155,AA118&lt;$K$155),$J$156,$K$156))),0)</f>
        <v/>
      </c>
      <c r="AB119" s="122">
        <f>IF(AB118&gt;0,IF(AND(AB118&gt;0%,AB118&lt;$H$155),$H$156,IF(AND(AB118&gt;=$I$155,AB118&lt;$J$155),$I$156,IF(AND(AB118&gt;=$J$155,AB118&lt;$K$155),$J$156,$K$156))),0)</f>
        <v/>
      </c>
      <c r="AC119" s="122">
        <f>IF(AC118&gt;0,IF(AND(AC118&gt;0%,AC118&lt;$H$155),$H$156,IF(AND(AC118&gt;=$I$155,AC118&lt;$J$155),$I$156,IF(AND(AC118&gt;=$J$155,AC118&lt;$K$155),$J$156,$K$156))),0)</f>
        <v/>
      </c>
      <c r="AD119" s="122">
        <f>IF(AD118&gt;0,IF(AND(AD118&gt;0%,AD118&lt;$H$155),$H$156,IF(AND(AD118&gt;=$I$155,AD118&lt;$J$155),$I$156,IF(AND(AD118&gt;=$J$155,AD118&lt;$K$155),$J$156,$K$156))),0)</f>
        <v/>
      </c>
      <c r="AE119" s="122">
        <f>IF(AE118&gt;0,IF(AND(AE118&gt;0%,AE118&lt;$H$155),$H$156,IF(AND(AE118&gt;=$I$155,AE118&lt;$J$155),$I$156,IF(AND(AE118&gt;=$J$155,AE118&lt;$K$155),$J$156,$K$156))),0)</f>
        <v/>
      </c>
      <c r="AF119" s="122">
        <f>IF(AF118&gt;0,IF(AND(AF118&gt;0%,AF118&lt;$H$155),$H$156,IF(AND(AF118&gt;=$I$155,AF118&lt;$J$155),$I$156,IF(AND(AF118&gt;=$J$155,AF118&lt;$K$155),$J$156,$K$156))),0)</f>
        <v/>
      </c>
      <c r="AG119" s="122">
        <f>IF(AG118&gt;0,IF(AND(AG118&gt;0%,AG118&lt;$H$155),$H$156,IF(AND(AG118&gt;=$I$155,AG118&lt;$J$155),$I$156,IF(AND(AG118&gt;=$J$155,AG118&lt;$K$155),$J$156,$K$156))),0)</f>
        <v/>
      </c>
      <c r="AH119" s="122">
        <f>IF(AH118&gt;0,IF(AND(AH118&gt;0%,AH118&lt;$H$155),$H$156,IF(AND(AH118&gt;=$I$155,AH118&lt;$J$155),$I$156,IF(AND(AH118&gt;=$J$155,AH118&lt;$K$155),$J$156,$K$156))),0)</f>
        <v/>
      </c>
      <c r="AI119" s="122">
        <f>IF(AI118&gt;0,IF(AND(AI118&gt;0%,AI118&lt;$H$155),$H$156,IF(AND(AI118&gt;=$I$155,AI118&lt;$J$155),$I$156,IF(AND(AI118&gt;=$J$155,AI118&lt;$K$155),$J$156,$K$156))),0)</f>
        <v/>
      </c>
      <c r="AJ119" s="122">
        <f>IF(AJ118&gt;0,IF(AND(AJ118&gt;0%,AJ118&lt;$H$155),$H$156,IF(AND(AJ118&gt;=$I$155,AJ118&lt;$J$155),$I$156,IF(AND(AJ118&gt;=$J$155,AJ118&lt;$K$155),$J$156,$K$156))),0)</f>
        <v/>
      </c>
      <c r="AK119" s="122">
        <f>IF(AK118&gt;0,IF(AND(AK118&gt;0%,AK118&lt;$H$155),$H$156,IF(AND(AK118&gt;=$I$155,AK118&lt;$J$155),$I$156,IF(AND(AK118&gt;=$J$155,AK118&lt;$K$155),$J$156,$K$156))),0)</f>
        <v/>
      </c>
      <c r="AP119" s="120" t="n">
        <v>0</v>
      </c>
      <c r="AQ119" s="120" t="n">
        <v>5</v>
      </c>
      <c r="AR119" s="120" t="n">
        <v>10</v>
      </c>
      <c r="AS119" s="120" t="n">
        <v>15</v>
      </c>
      <c r="AU119" s="210">
        <f>+COUNTIF($C119:$AJ119,AP119)</f>
        <v/>
      </c>
      <c r="AV119" s="210">
        <f>+COUNTIF($C119:$AJ119,AQ119)</f>
        <v/>
      </c>
      <c r="AW119" s="210">
        <f>+COUNTIF($C119:$AJ119,AR119)</f>
        <v/>
      </c>
      <c r="AX119" s="210">
        <f>+COUNTIF($C119:$AJ119,AS119)</f>
        <v/>
      </c>
      <c r="AY119" s="168">
        <f>+SUM(AU119:AX119)</f>
        <v/>
      </c>
    </row>
    <row r="120">
      <c r="A120" s="196" t="n"/>
      <c r="B120" s="266" t="inlineStr">
        <is>
          <t>Ликвидликни қоплаш меъёри</t>
        </is>
      </c>
      <c r="C120" s="201">
        <f>+C103</f>
        <v/>
      </c>
      <c r="D120" s="201">
        <f>+D103</f>
        <v/>
      </c>
      <c r="E120" s="201">
        <f>+E103</f>
        <v/>
      </c>
      <c r="F120" s="201">
        <f>+F103</f>
        <v/>
      </c>
      <c r="G120" s="201">
        <f>+G103</f>
        <v/>
      </c>
      <c r="H120" s="201">
        <f>+H103</f>
        <v/>
      </c>
      <c r="I120" s="201">
        <f>+I103</f>
        <v/>
      </c>
      <c r="J120" s="201">
        <f>+J103</f>
        <v/>
      </c>
      <c r="K120" s="201">
        <f>+K103</f>
        <v/>
      </c>
      <c r="L120" s="201">
        <f>+L103</f>
        <v/>
      </c>
      <c r="M120" s="201">
        <f>+M103</f>
        <v/>
      </c>
      <c r="N120" s="201">
        <f>+N103</f>
        <v/>
      </c>
      <c r="O120" s="201">
        <f>+O103</f>
        <v/>
      </c>
      <c r="P120" s="201">
        <f>+P103</f>
        <v/>
      </c>
      <c r="Q120" s="201">
        <f>+Q103</f>
        <v/>
      </c>
      <c r="R120" s="201">
        <f>+R103</f>
        <v/>
      </c>
      <c r="S120" s="201">
        <f>+S103</f>
        <v/>
      </c>
      <c r="T120" s="201">
        <f>+T103</f>
        <v/>
      </c>
      <c r="U120" s="201">
        <f>+U103</f>
        <v/>
      </c>
      <c r="V120" s="201">
        <f>+V103</f>
        <v/>
      </c>
      <c r="W120" s="201">
        <f>+W103</f>
        <v/>
      </c>
      <c r="X120" s="201">
        <f>+X103</f>
        <v/>
      </c>
      <c r="Y120" s="201">
        <f>+Y103</f>
        <v/>
      </c>
      <c r="Z120" s="201">
        <f>+Z103</f>
        <v/>
      </c>
      <c r="AA120" s="201">
        <f>+AA103</f>
        <v/>
      </c>
      <c r="AB120" s="201">
        <f>+AB103</f>
        <v/>
      </c>
      <c r="AC120" s="201">
        <f>+AC103</f>
        <v/>
      </c>
      <c r="AD120" s="201">
        <f>+AD103</f>
        <v/>
      </c>
      <c r="AE120" s="201">
        <f>+AE103</f>
        <v/>
      </c>
      <c r="AF120" s="201">
        <f>+AF103</f>
        <v/>
      </c>
      <c r="AG120" s="201">
        <f>+AG103</f>
        <v/>
      </c>
      <c r="AH120" s="201">
        <f>+AH103</f>
        <v/>
      </c>
      <c r="AI120" s="201">
        <f>+AI103</f>
        <v/>
      </c>
      <c r="AJ120" s="201">
        <f>+AJ103</f>
        <v/>
      </c>
      <c r="AK120" s="201">
        <f>+AK103</f>
        <v/>
      </c>
      <c r="AL120" s="203">
        <f>+AVERAGE(C120:AJ120)</f>
        <v/>
      </c>
      <c r="AM120" s="203">
        <f>+MAX(C120:AJ120)</f>
        <v/>
      </c>
      <c r="AN120" s="203">
        <f>+MIN(C120:AJ120)</f>
        <v/>
      </c>
      <c r="AP120" s="120" t="inlineStr">
        <is>
          <t>&lt;15%</t>
        </is>
      </c>
      <c r="AQ120" s="120" t="inlineStr">
        <is>
          <t>15%&lt;=…&lt;20%</t>
        </is>
      </c>
      <c r="AR120" s="120" t="inlineStr">
        <is>
          <t>20%&lt;=…&lt;25%</t>
        </is>
      </c>
      <c r="AS120" s="121" t="inlineStr">
        <is>
          <t>&gt;=25%</t>
        </is>
      </c>
    </row>
    <row r="121">
      <c r="A121" s="196" t="n"/>
      <c r="B121" s="294" t="n"/>
      <c r="C121" s="122">
        <f>IF(C120&gt;0,IF(AND(C120&gt;0%,C120&lt;$H$157),$H$158,IF(AND(C120&gt;=$I$157,C120&lt;$J$157),$I$158,IF(AND(C120&gt;=$J$157,C120&lt;$K$157),$J$158,$K$158))),0)</f>
        <v/>
      </c>
      <c r="D121" s="122">
        <f>IF(D120&gt;0,IF(AND(D120&gt;0%,D120&lt;$H$157),$H$158,IF(AND(D120&gt;=$I$157,D120&lt;$J$157),$I$158,IF(AND(D120&gt;=$J$157,D120&lt;$K$157),$J$158,$K$158))),0)</f>
        <v/>
      </c>
      <c r="E121" s="122">
        <f>IF(E120&gt;0,IF(AND(E120&gt;0%,E120&lt;$H$157),$H$158,IF(AND(E120&gt;=$I$157,E120&lt;$J$157),$I$158,IF(AND(E120&gt;=$J$157,E120&lt;$K$157),$J$158,$K$158))),0)</f>
        <v/>
      </c>
      <c r="F121" s="122">
        <f>IF(F120&gt;0,IF(AND(F120&gt;0%,F120&lt;$H$157),$H$158,IF(AND(F120&gt;=$I$157,F120&lt;$J$157),$I$158,IF(AND(F120&gt;=$J$157,F120&lt;$K$157),$J$158,$K$158))),0)</f>
        <v/>
      </c>
      <c r="G121" s="122">
        <f>IF(G120&gt;0,IF(AND(G120&gt;0%,G120&lt;$H$157),$H$158,IF(AND(G120&gt;=$I$157,G120&lt;$J$157),$I$158,IF(AND(G120&gt;=$J$157,G120&lt;$K$157),$J$158,$K$158))),0)</f>
        <v/>
      </c>
      <c r="H121" s="122">
        <f>IF(H120&gt;0,IF(AND(H120&gt;0%,H120&lt;$H$157),$H$158,IF(AND(H120&gt;=$I$157,H120&lt;$J$157),$I$158,IF(AND(H120&gt;=$J$157,H120&lt;$K$157),$J$158,$K$158))),0)</f>
        <v/>
      </c>
      <c r="I121" s="122">
        <f>IF(I120&gt;0,IF(AND(I120&gt;0%,I120&lt;$H$157),$H$158,IF(AND(I120&gt;=$I$157,I120&lt;$J$157),$I$158,IF(AND(I120&gt;=$J$157,I120&lt;$K$157),$J$158,$K$158))),0)</f>
        <v/>
      </c>
      <c r="J121" s="122">
        <f>IF(J120&gt;0,IF(AND(J120&gt;0%,J120&lt;$H$157),$H$158,IF(AND(J120&gt;=$I$157,J120&lt;$J$157),$I$158,IF(AND(J120&gt;=$J$157,J120&lt;$K$157),$J$158,$K$158))),0)</f>
        <v/>
      </c>
      <c r="K121" s="122">
        <f>IF(K120&gt;0,IF(AND(K120&gt;0%,K120&lt;$H$157),$H$158,IF(AND(K120&gt;=$I$157,K120&lt;$J$157),$I$158,IF(AND(K120&gt;=$J$157,K120&lt;$K$157),$J$158,$K$158))),0)</f>
        <v/>
      </c>
      <c r="L121" s="122">
        <f>IF(L120&gt;0,IF(AND(L120&gt;0%,L120&lt;$H$157),$H$158,IF(AND(L120&gt;=$I$157,L120&lt;$J$157),$I$158,IF(AND(L120&gt;=$J$157,L120&lt;$K$157),$J$158,$K$158))),0)</f>
        <v/>
      </c>
      <c r="M121" s="122">
        <f>IF(M120&gt;0,IF(AND(M120&gt;0%,M120&lt;$H$157),$H$158,IF(AND(M120&gt;=$I$157,M120&lt;$J$157),$I$158,IF(AND(M120&gt;=$J$157,M120&lt;$K$157),$J$158,$K$158))),0)</f>
        <v/>
      </c>
      <c r="N121" s="122">
        <f>IF(N120&gt;0,IF(AND(N120&gt;0%,N120&lt;$H$157),$H$158,IF(AND(N120&gt;=$I$157,N120&lt;$J$157),$I$158,IF(AND(N120&gt;=$J$157,N120&lt;$K$157),$J$158,$K$158))),0)</f>
        <v/>
      </c>
      <c r="O121" s="122">
        <f>IF(O120&gt;0,IF(AND(O120&gt;0%,O120&lt;$H$157),$H$158,IF(AND(O120&gt;=$I$157,O120&lt;$J$157),$I$158,IF(AND(O120&gt;=$J$157,O120&lt;$K$157),$J$158,$K$158))),0)</f>
        <v/>
      </c>
      <c r="P121" s="122">
        <f>IF(P120&gt;0,IF(AND(P120&gt;0%,P120&lt;$H$157),$H$158,IF(AND(P120&gt;=$I$157,P120&lt;$J$157),$I$158,IF(AND(P120&gt;=$J$157,P120&lt;$K$157),$J$158,$K$158))),0)</f>
        <v/>
      </c>
      <c r="Q121" s="122">
        <f>IF(Q120&gt;0,IF(AND(Q120&gt;0%,Q120&lt;$H$157),$H$158,IF(AND(Q120&gt;=$I$157,Q120&lt;$J$157),$I$158,IF(AND(Q120&gt;=$J$157,Q120&lt;$K$157),$J$158,$K$158))),0)</f>
        <v/>
      </c>
      <c r="R121" s="122">
        <f>IF(R120&gt;0,IF(AND(R120&gt;0%,R120&lt;$H$157),$H$158,IF(AND(R120&gt;=$I$157,R120&lt;$J$157),$I$158,IF(AND(R120&gt;=$J$157,R120&lt;$K$157),$J$158,$K$158))),0)</f>
        <v/>
      </c>
      <c r="S121" s="122">
        <f>IF(S120&gt;0,IF(AND(S120&gt;0%,S120&lt;$H$157),$H$158,IF(AND(S120&gt;=$I$157,S120&lt;$J$157),$I$158,IF(AND(S120&gt;=$J$157,S120&lt;$K$157),$J$158,$K$158))),0)</f>
        <v/>
      </c>
      <c r="T121" s="122">
        <f>IF(T120&gt;0,IF(AND(T120&gt;0%,T120&lt;$H$157),$H$158,IF(AND(T120&gt;=$I$157,T120&lt;$J$157),$I$158,IF(AND(T120&gt;=$J$157,T120&lt;$K$157),$J$158,$K$158))),0)</f>
        <v/>
      </c>
      <c r="U121" s="122">
        <f>IF(U120&gt;0,IF(AND(U120&gt;0%,U120&lt;$H$157),$H$158,IF(AND(U120&gt;=$I$157,U120&lt;$J$157),$I$158,IF(AND(U120&gt;=$J$157,U120&lt;$K$157),$J$158,$K$158))),0)</f>
        <v/>
      </c>
      <c r="V121" s="122">
        <f>IF(V120&gt;0,IF(AND(V120&gt;0%,V120&lt;$H$157),$H$158,IF(AND(V120&gt;=$I$157,V120&lt;$J$157),$I$158,IF(AND(V120&gt;=$J$157,V120&lt;$K$157),$J$158,$K$158))),0)</f>
        <v/>
      </c>
      <c r="W121" s="122">
        <f>IF(W120&gt;0,IF(AND(W120&gt;0%,W120&lt;$H$157),$H$158,IF(AND(W120&gt;=$I$157,W120&lt;$J$157),$I$158,IF(AND(W120&gt;=$J$157,W120&lt;$K$157),$J$158,$K$158))),0)</f>
        <v/>
      </c>
      <c r="X121" s="122">
        <f>IF(X120&gt;0,IF(AND(X120&gt;0%,X120&lt;$H$157),$H$158,IF(AND(X120&gt;=$I$157,X120&lt;$J$157),$I$158,IF(AND(X120&gt;=$J$157,X120&lt;$K$157),$J$158,$K$158))),0)</f>
        <v/>
      </c>
      <c r="Y121" s="122">
        <f>IF(Y120&gt;0,IF(AND(Y120&gt;0%,Y120&lt;$H$157),$H$158,IF(AND(Y120&gt;=$I$157,Y120&lt;$J$157),$I$158,IF(AND(Y120&gt;=$J$157,Y120&lt;$K$157),$J$158,$K$158))),0)</f>
        <v/>
      </c>
      <c r="Z121" s="122">
        <f>IF(Z120&gt;0,IF(AND(Z120&gt;0%,Z120&lt;$H$157),$H$158,IF(AND(Z120&gt;=$I$157,Z120&lt;$J$157),$I$158,IF(AND(Z120&gt;=$J$157,Z120&lt;$K$157),$J$158,$K$158))),0)</f>
        <v/>
      </c>
      <c r="AA121" s="122">
        <f>IF(AA120&gt;0,IF(AND(AA120&gt;0%,AA120&lt;$H$157),$H$158,IF(AND(AA120&gt;=$I$157,AA120&lt;$J$157),$I$158,IF(AND(AA120&gt;=$J$157,AA120&lt;$K$157),$J$158,$K$158))),0)</f>
        <v/>
      </c>
      <c r="AB121" s="122">
        <f>IF(AB120&gt;0,IF(AND(AB120&gt;0%,AB120&lt;$H$157),$H$158,IF(AND(AB120&gt;=$I$157,AB120&lt;$J$157),$I$158,IF(AND(AB120&gt;=$J$157,AB120&lt;$K$157),$J$158,$K$158))),0)</f>
        <v/>
      </c>
      <c r="AC121" s="122">
        <f>IF(AC120&gt;0,IF(AND(AC120&gt;0%,AC120&lt;$H$157),$H$158,IF(AND(AC120&gt;=$I$157,AC120&lt;$J$157),$I$158,IF(AND(AC120&gt;=$J$157,AC120&lt;$K$157),$J$158,$K$158))),0)</f>
        <v/>
      </c>
      <c r="AD121" s="122">
        <f>IF(AD120&gt;0,IF(AND(AD120&gt;0%,AD120&lt;$H$157),$H$158,IF(AND(AD120&gt;=$I$157,AD120&lt;$J$157),$I$158,IF(AND(AD120&gt;=$J$157,AD120&lt;$K$157),$J$158,$K$158))),0)</f>
        <v/>
      </c>
      <c r="AE121" s="122">
        <f>IF(AE120&gt;0,IF(AND(AE120&gt;0%,AE120&lt;$H$157),$H$158,IF(AND(AE120&gt;=$I$157,AE120&lt;$J$157),$I$158,IF(AND(AE120&gt;=$J$157,AE120&lt;$K$157),$J$158,$K$158))),0)</f>
        <v/>
      </c>
      <c r="AF121" s="122">
        <f>IF(AF120&gt;0,IF(AND(AF120&gt;0%,AF120&lt;$H$157),$H$158,IF(AND(AF120&gt;=$I$157,AF120&lt;$J$157),$I$158,IF(AND(AF120&gt;=$J$157,AF120&lt;$K$157),$J$158,$K$158))),0)</f>
        <v/>
      </c>
      <c r="AG121" s="122">
        <f>IF(AG120&gt;0,IF(AND(AG120&gt;0%,AG120&lt;$H$157),$H$158,IF(AND(AG120&gt;=$I$157,AG120&lt;$J$157),$I$158,IF(AND(AG120&gt;=$J$157,AG120&lt;$K$157),$J$158,$K$158))),0)</f>
        <v/>
      </c>
      <c r="AH121" s="122">
        <f>IF(AH120&gt;0,IF(AND(AH120&gt;0%,AH120&lt;$H$157),$H$158,IF(AND(AH120&gt;=$I$157,AH120&lt;$J$157),$I$158,IF(AND(AH120&gt;=$J$157,AH120&lt;$K$157),$J$158,$K$158))),0)</f>
        <v/>
      </c>
      <c r="AI121" s="122">
        <f>IF(AI120&gt;0,IF(AND(AI120&gt;0%,AI120&lt;$H$157),$H$158,IF(AND(AI120&gt;=$I$157,AI120&lt;$J$157),$I$158,IF(AND(AI120&gt;=$J$157,AI120&lt;$K$157),$J$158,$K$158))),0)</f>
        <v/>
      </c>
      <c r="AJ121" s="122">
        <f>IF(AJ120&gt;0,IF(AND(AJ120&gt;0%,AJ120&lt;$H$157),$H$158,IF(AND(AJ120&gt;=$I$157,AJ120&lt;$J$157),$I$158,IF(AND(AJ120&gt;=$J$157,AJ120&lt;$K$157),$J$158,$K$158))),0)</f>
        <v/>
      </c>
      <c r="AK121" s="122">
        <f>IF(AK120&gt;0,IF(AND(AK120&gt;0%,AK120&lt;$H$157),$H$158,IF(AND(AK120&gt;=$I$157,AK120&lt;$J$157),$I$158,IF(AND(AK120&gt;=$J$157,AK120&lt;$K$157),$J$158,$K$158))),0)</f>
        <v/>
      </c>
      <c r="AP121" s="120" t="n">
        <v>0</v>
      </c>
      <c r="AQ121" s="120" t="n">
        <v>5</v>
      </c>
      <c r="AR121" s="120" t="n">
        <v>10</v>
      </c>
      <c r="AS121" s="120" t="n">
        <v>15</v>
      </c>
      <c r="AU121" s="210">
        <f>+COUNTIF($C121:$AJ121,AP121)</f>
        <v/>
      </c>
      <c r="AV121" s="210">
        <f>+COUNTIF($C121:$AJ121,AQ121)</f>
        <v/>
      </c>
      <c r="AW121" s="210">
        <f>+COUNTIF($C121:$AJ121,AR121)</f>
        <v/>
      </c>
      <c r="AX121" s="210">
        <f>+COUNTIF($C121:$AJ121,AS121)</f>
        <v/>
      </c>
      <c r="AY121" s="168">
        <f>+SUM(AU121:AX121)</f>
        <v/>
      </c>
    </row>
    <row r="122">
      <c r="A122" s="196" t="n"/>
      <c r="B122" s="266" t="inlineStr">
        <is>
          <t>Соф барқарор молиялаштириш меъёри</t>
        </is>
      </c>
      <c r="C122" s="201">
        <f>+C104</f>
        <v/>
      </c>
      <c r="D122" s="201">
        <f>+D104</f>
        <v/>
      </c>
      <c r="E122" s="201">
        <f>+E104</f>
        <v/>
      </c>
      <c r="F122" s="201">
        <f>+F104</f>
        <v/>
      </c>
      <c r="G122" s="201">
        <f>+G104</f>
        <v/>
      </c>
      <c r="H122" s="201">
        <f>+H104</f>
        <v/>
      </c>
      <c r="I122" s="201">
        <f>+I104</f>
        <v/>
      </c>
      <c r="J122" s="201">
        <f>+J104</f>
        <v/>
      </c>
      <c r="K122" s="201">
        <f>+K104</f>
        <v/>
      </c>
      <c r="L122" s="201">
        <f>+L104</f>
        <v/>
      </c>
      <c r="M122" s="201">
        <f>+M104</f>
        <v/>
      </c>
      <c r="N122" s="201">
        <f>+N104</f>
        <v/>
      </c>
      <c r="O122" s="201">
        <f>+O104</f>
        <v/>
      </c>
      <c r="P122" s="201">
        <f>+P104</f>
        <v/>
      </c>
      <c r="Q122" s="201">
        <f>+Q104</f>
        <v/>
      </c>
      <c r="R122" s="201">
        <f>+R104</f>
        <v/>
      </c>
      <c r="S122" s="201">
        <f>+S104</f>
        <v/>
      </c>
      <c r="T122" s="201">
        <f>+T104</f>
        <v/>
      </c>
      <c r="U122" s="201">
        <f>+U104</f>
        <v/>
      </c>
      <c r="V122" s="201">
        <f>+V104</f>
        <v/>
      </c>
      <c r="W122" s="201">
        <f>+W104</f>
        <v/>
      </c>
      <c r="X122" s="201">
        <f>+X104</f>
        <v/>
      </c>
      <c r="Y122" s="201">
        <f>+Y104</f>
        <v/>
      </c>
      <c r="Z122" s="201">
        <f>+Z104</f>
        <v/>
      </c>
      <c r="AA122" s="201">
        <f>+AA104</f>
        <v/>
      </c>
      <c r="AB122" s="201">
        <f>+AB104</f>
        <v/>
      </c>
      <c r="AC122" s="201">
        <f>+AC104</f>
        <v/>
      </c>
      <c r="AD122" s="201">
        <f>+AD104</f>
        <v/>
      </c>
      <c r="AE122" s="201">
        <f>+AE104</f>
        <v/>
      </c>
      <c r="AF122" s="201">
        <f>+AF104</f>
        <v/>
      </c>
      <c r="AG122" s="201">
        <f>+AG104</f>
        <v/>
      </c>
      <c r="AH122" s="201">
        <f>+AH104</f>
        <v/>
      </c>
      <c r="AI122" s="201">
        <f>+AI104</f>
        <v/>
      </c>
      <c r="AJ122" s="201">
        <f>+AJ104</f>
        <v/>
      </c>
      <c r="AK122" s="201">
        <f>+AK104</f>
        <v/>
      </c>
      <c r="AL122" s="203">
        <f>+AVERAGE(C122:AJ122)</f>
        <v/>
      </c>
      <c r="AM122" s="203">
        <f>+MAX(C122:AJ122)</f>
        <v/>
      </c>
      <c r="AN122" s="203">
        <f>+MIN(C122:AJ122)</f>
        <v/>
      </c>
      <c r="AP122" s="120" t="inlineStr">
        <is>
          <t>&lt;25%</t>
        </is>
      </c>
      <c r="AQ122" s="120" t="inlineStr">
        <is>
          <t>25%&lt;=…&lt;30%</t>
        </is>
      </c>
      <c r="AR122" s="120" t="inlineStr">
        <is>
          <t>30%&lt;=…&lt;35%</t>
        </is>
      </c>
      <c r="AS122" s="121" t="inlineStr">
        <is>
          <t>&gt;=35%</t>
        </is>
      </c>
    </row>
    <row r="123" ht="15.75" customHeight="1" thickBot="1">
      <c r="A123" s="196" t="n"/>
      <c r="B123" s="294" t="n"/>
      <c r="C123" s="122">
        <f>IF(C122&gt;0,IF(AND(C122&gt;0%,C122&lt;$H$159),$H$160,IF(AND(C122&gt;=$I$159,C122&lt;$J$159),$I$160,IF(AND(C122&gt;=$J$159,C122&lt;$K$159),$J$160,$K$160))),0)</f>
        <v/>
      </c>
      <c r="D123" s="122">
        <f>IF(D122&gt;0,IF(AND(D122&gt;0%,D122&lt;$H$159),$H$160,IF(AND(D122&gt;=$I$159,D122&lt;$J$159),$I$160,IF(AND(D122&gt;=$J$159,D122&lt;$K$159),$J$160,$K$160))),0)</f>
        <v/>
      </c>
      <c r="E123" s="122">
        <f>IF(E122&gt;0,IF(AND(E122&gt;0%,E122&lt;$H$159),$H$160,IF(AND(E122&gt;=$I$159,E122&lt;$J$159),$I$160,IF(AND(E122&gt;=$J$159,E122&lt;$K$159),$J$160,$K$160))),0)</f>
        <v/>
      </c>
      <c r="F123" s="122">
        <f>IF(F122&gt;0,IF(AND(F122&gt;0%,F122&lt;$H$159),$H$160,IF(AND(F122&gt;=$I$159,F122&lt;$J$159),$I$160,IF(AND(F122&gt;=$J$159,F122&lt;$K$159),$J$160,$K$160))),0)</f>
        <v/>
      </c>
      <c r="G123" s="122">
        <f>IF(G122&gt;0,IF(AND(G122&gt;0%,G122&lt;$H$159),$H$160,IF(AND(G122&gt;=$I$159,G122&lt;$J$159),$I$160,IF(AND(G122&gt;=$J$159,G122&lt;$K$159),$J$160,$K$160))),0)</f>
        <v/>
      </c>
      <c r="H123" s="122">
        <f>IF(H122&gt;0,IF(AND(H122&gt;0%,H122&lt;$H$159),$H$160,IF(AND(H122&gt;=$I$159,H122&lt;$J$159),$I$160,IF(AND(H122&gt;=$J$159,H122&lt;$K$159),$J$160,$K$160))),0)</f>
        <v/>
      </c>
      <c r="I123" s="122">
        <f>IF(I122&gt;0,IF(AND(I122&gt;0%,I122&lt;$H$159),$H$160,IF(AND(I122&gt;=$I$159,I122&lt;$J$159),$I$160,IF(AND(I122&gt;=$J$159,I122&lt;$K$159),$J$160,$K$160))),0)</f>
        <v/>
      </c>
      <c r="J123" s="122">
        <f>IF(J122&gt;0,IF(AND(J122&gt;0%,J122&lt;$H$159),$H$160,IF(AND(J122&gt;=$I$159,J122&lt;$J$159),$I$160,IF(AND(J122&gt;=$J$159,J122&lt;$K$159),$J$160,$K$160))),0)</f>
        <v/>
      </c>
      <c r="K123" s="122">
        <f>IF(K122&gt;0,IF(AND(K122&gt;0%,K122&lt;$H$159),$H$160,IF(AND(K122&gt;=$I$159,K122&lt;$J$159),$I$160,IF(AND(K122&gt;=$J$159,K122&lt;$K$159),$J$160,$K$160))),0)</f>
        <v/>
      </c>
      <c r="L123" s="122">
        <f>IF(L122&gt;0,IF(AND(L122&gt;0%,L122&lt;$H$159),$H$160,IF(AND(L122&gt;=$I$159,L122&lt;$J$159),$I$160,IF(AND(L122&gt;=$J$159,L122&lt;$K$159),$J$160,$K$160))),0)</f>
        <v/>
      </c>
      <c r="M123" s="122">
        <f>IF(M122&gt;0,IF(AND(M122&gt;0%,M122&lt;$H$159),$H$160,IF(AND(M122&gt;=$I$159,M122&lt;$J$159),$I$160,IF(AND(M122&gt;=$J$159,M122&lt;$K$159),$J$160,$K$160))),0)</f>
        <v/>
      </c>
      <c r="N123" s="122">
        <f>IF(N122&gt;0,IF(AND(N122&gt;0%,N122&lt;$H$159),$H$160,IF(AND(N122&gt;=$I$159,N122&lt;$J$159),$I$160,IF(AND(N122&gt;=$J$159,N122&lt;$K$159),$J$160,$K$160))),0)</f>
        <v/>
      </c>
      <c r="O123" s="122">
        <f>IF(O122&gt;0,IF(AND(O122&gt;0%,O122&lt;$H$159),$H$160,IF(AND(O122&gt;=$I$159,O122&lt;$J$159),$I$160,IF(AND(O122&gt;=$J$159,O122&lt;$K$159),$J$160,$K$160))),0)</f>
        <v/>
      </c>
      <c r="P123" s="122">
        <f>IF(P122&gt;0,IF(AND(P122&gt;0%,P122&lt;$H$159),$H$160,IF(AND(P122&gt;=$I$159,P122&lt;$J$159),$I$160,IF(AND(P122&gt;=$J$159,P122&lt;$K$159),$J$160,$K$160))),0)</f>
        <v/>
      </c>
      <c r="Q123" s="122">
        <f>IF(Q122&gt;0,IF(AND(Q122&gt;0%,Q122&lt;$H$159),$H$160,IF(AND(Q122&gt;=$I$159,Q122&lt;$J$159),$I$160,IF(AND(Q122&gt;=$J$159,Q122&lt;$K$159),$J$160,$K$160))),0)</f>
        <v/>
      </c>
      <c r="R123" s="122">
        <f>IF(R122&gt;0,IF(AND(R122&gt;0%,R122&lt;$H$159),$H$160,IF(AND(R122&gt;=$I$159,R122&lt;$J$159),$I$160,IF(AND(R122&gt;=$J$159,R122&lt;$K$159),$J$160,$K$160))),0)</f>
        <v/>
      </c>
      <c r="S123" s="122">
        <f>IF(S122&gt;0,IF(AND(S122&gt;0%,S122&lt;$H$159),$H$160,IF(AND(S122&gt;=$I$159,S122&lt;$J$159),$I$160,IF(AND(S122&gt;=$J$159,S122&lt;$K$159),$J$160,$K$160))),0)</f>
        <v/>
      </c>
      <c r="T123" s="122">
        <f>IF(T122&gt;0,IF(AND(T122&gt;0%,T122&lt;$H$159),$H$160,IF(AND(T122&gt;=$I$159,T122&lt;$J$159),$I$160,IF(AND(T122&gt;=$J$159,T122&lt;$K$159),$J$160,$K$160))),0)</f>
        <v/>
      </c>
      <c r="U123" s="122">
        <f>IF(U122&gt;0,IF(AND(U122&gt;0%,U122&lt;$H$159),$H$160,IF(AND(U122&gt;=$I$159,U122&lt;$J$159),$I$160,IF(AND(U122&gt;=$J$159,U122&lt;$K$159),$J$160,$K$160))),0)</f>
        <v/>
      </c>
      <c r="V123" s="122">
        <f>IF(V122&gt;0,IF(AND(V122&gt;0%,V122&lt;$H$159),$H$160,IF(AND(V122&gt;=$I$159,V122&lt;$J$159),$I$160,IF(AND(V122&gt;=$J$159,V122&lt;$K$159),$J$160,$K$160))),0)</f>
        <v/>
      </c>
      <c r="W123" s="122">
        <f>IF(W122&gt;0,IF(AND(W122&gt;0%,W122&lt;$H$159),$H$160,IF(AND(W122&gt;=$I$159,W122&lt;$J$159),$I$160,IF(AND(W122&gt;=$J$159,W122&lt;$K$159),$J$160,$K$160))),0)</f>
        <v/>
      </c>
      <c r="X123" s="122">
        <f>IF(X122&gt;0,IF(AND(X122&gt;0%,X122&lt;$H$159),$H$160,IF(AND(X122&gt;=$I$159,X122&lt;$J$159),$I$160,IF(AND(X122&gt;=$J$159,X122&lt;$K$159),$J$160,$K$160))),0)</f>
        <v/>
      </c>
      <c r="Y123" s="122">
        <f>IF(Y122&gt;0,IF(AND(Y122&gt;0%,Y122&lt;$H$159),$H$160,IF(AND(Y122&gt;=$I$159,Y122&lt;$J$159),$I$160,IF(AND(Y122&gt;=$J$159,Y122&lt;$K$159),$J$160,$K$160))),0)</f>
        <v/>
      </c>
      <c r="Z123" s="122">
        <f>IF(Z122&gt;0,IF(AND(Z122&gt;0%,Z122&lt;$H$159),$H$160,IF(AND(Z122&gt;=$I$159,Z122&lt;$J$159),$I$160,IF(AND(Z122&gt;=$J$159,Z122&lt;$K$159),$J$160,$K$160))),0)</f>
        <v/>
      </c>
      <c r="AA123" s="122">
        <f>IF(AA122&gt;0,IF(AND(AA122&gt;0%,AA122&lt;$H$159),$H$160,IF(AND(AA122&gt;=$I$159,AA122&lt;$J$159),$I$160,IF(AND(AA122&gt;=$J$159,AA122&lt;$K$159),$J$160,$K$160))),0)</f>
        <v/>
      </c>
      <c r="AB123" s="122">
        <f>IF(AB122&gt;0,IF(AND(AB122&gt;0%,AB122&lt;$H$159),$H$160,IF(AND(AB122&gt;=$I$159,AB122&lt;$J$159),$I$160,IF(AND(AB122&gt;=$J$159,AB122&lt;$K$159),$J$160,$K$160))),0)</f>
        <v/>
      </c>
      <c r="AC123" s="122">
        <f>IF(AC122&gt;0,IF(AND(AC122&gt;0%,AC122&lt;$H$159),$H$160,IF(AND(AC122&gt;=$I$159,AC122&lt;$J$159),$I$160,IF(AND(AC122&gt;=$J$159,AC122&lt;$K$159),$J$160,$K$160))),0)</f>
        <v/>
      </c>
      <c r="AD123" s="122">
        <f>IF(AD122&gt;0,IF(AND(AD122&gt;0%,AD122&lt;$H$159),$H$160,IF(AND(AD122&gt;=$I$159,AD122&lt;$J$159),$I$160,IF(AND(AD122&gt;=$J$159,AD122&lt;$K$159),$J$160,$K$160))),0)</f>
        <v/>
      </c>
      <c r="AE123" s="122">
        <f>IF(AE122&gt;0,IF(AND(AE122&gt;0%,AE122&lt;$H$159),$H$160,IF(AND(AE122&gt;=$I$159,AE122&lt;$J$159),$I$160,IF(AND(AE122&gt;=$J$159,AE122&lt;$K$159),$J$160,$K$160))),0)</f>
        <v/>
      </c>
      <c r="AF123" s="122">
        <f>IF(AF122&gt;0,IF(AND(AF122&gt;0%,AF122&lt;$H$159),$H$160,IF(AND(AF122&gt;=$I$159,AF122&lt;$J$159),$I$160,IF(AND(AF122&gt;=$J$159,AF122&lt;$K$159),$J$160,$K$160))),0)</f>
        <v/>
      </c>
      <c r="AG123" s="122">
        <f>IF(AG122&gt;0,IF(AND(AG122&gt;0%,AG122&lt;$H$159),$H$160,IF(AND(AG122&gt;=$I$159,AG122&lt;$J$159),$I$160,IF(AND(AG122&gt;=$J$159,AG122&lt;$K$159),$J$160,$K$160))),0)</f>
        <v/>
      </c>
      <c r="AH123" s="122">
        <f>IF(AH122&gt;0,IF(AND(AH122&gt;0%,AH122&lt;$H$159),$H$160,IF(AND(AH122&gt;=$I$159,AH122&lt;$J$159),$I$160,IF(AND(AH122&gt;=$J$159,AH122&lt;$K$159),$J$160,$K$160))),0)</f>
        <v/>
      </c>
      <c r="AI123" s="122">
        <f>IF(AI122&gt;0,IF(AND(AI122&gt;0%,AI122&lt;$H$159),$H$160,IF(AND(AI122&gt;=$I$159,AI122&lt;$J$159),$I$160,IF(AND(AI122&gt;=$J$159,AI122&lt;$K$159),$J$160,$K$160))),0)</f>
        <v/>
      </c>
      <c r="AJ123" s="122">
        <f>IF(AJ122&gt;0,IF(AND(AJ122&gt;0%,AJ122&lt;$H$159),$H$160,IF(AND(AJ122&gt;=$I$159,AJ122&lt;$J$159),$I$160,IF(AND(AJ122&gt;=$J$159,AJ122&lt;$K$159),$J$160,$K$160))),0)</f>
        <v/>
      </c>
      <c r="AK123" s="122">
        <f>IF(AK122&gt;0,IF(AND(AK122&gt;0%,AK122&lt;$H$159),$H$160,IF(AND(AK122&gt;=$I$159,AK122&lt;$J$159),$I$160,IF(AND(AK122&gt;=$J$159,AK122&lt;$K$159),$J$160,$K$160))),0)</f>
        <v/>
      </c>
      <c r="AP123" s="120" t="n">
        <v>0</v>
      </c>
      <c r="AQ123" s="120" t="n">
        <v>5</v>
      </c>
      <c r="AR123" s="120" t="n">
        <v>10</v>
      </c>
      <c r="AS123" s="120" t="n">
        <v>15</v>
      </c>
      <c r="AU123" s="210">
        <f>+COUNTIF($C123:$AJ123,AP123)</f>
        <v/>
      </c>
      <c r="AV123" s="210">
        <f>+COUNTIF($C123:$AJ123,AQ123)</f>
        <v/>
      </c>
      <c r="AW123" s="210">
        <f>+COUNTIF($C123:$AJ123,AR123)</f>
        <v/>
      </c>
      <c r="AX123" s="210">
        <f>+COUNTIF($C123:$AJ123,AS123)</f>
        <v/>
      </c>
      <c r="AY123" s="168">
        <f>+SUM(AU123:AX123)</f>
        <v/>
      </c>
    </row>
    <row r="124">
      <c r="A124" s="197" t="n"/>
      <c r="B124" s="119" t="inlineStr">
        <is>
          <t>Активлар</t>
        </is>
      </c>
      <c r="C124" s="206" t="n"/>
      <c r="D124" s="206" t="n"/>
      <c r="E124" s="206" t="n"/>
      <c r="F124" s="206" t="n"/>
      <c r="G124" s="206" t="n"/>
      <c r="H124" s="206" t="n"/>
      <c r="I124" s="206" t="n"/>
      <c r="J124" s="206" t="n"/>
      <c r="K124" s="206" t="n"/>
      <c r="L124" s="206" t="n"/>
      <c r="M124" s="206" t="n"/>
      <c r="N124" s="206" t="n"/>
      <c r="O124" s="206" t="n"/>
      <c r="P124" s="206" t="n"/>
      <c r="Q124" s="206" t="n"/>
      <c r="R124" s="206" t="n"/>
      <c r="S124" s="206" t="n"/>
      <c r="T124" s="206" t="n"/>
      <c r="U124" s="206" t="n"/>
      <c r="V124" s="206" t="n"/>
      <c r="W124" s="206" t="n"/>
      <c r="X124" s="206" t="n"/>
      <c r="Y124" s="206" t="n"/>
      <c r="Z124" s="206" t="n"/>
      <c r="AA124" s="206" t="n"/>
      <c r="AB124" s="206" t="n"/>
      <c r="AC124" s="206" t="n"/>
      <c r="AD124" s="206" t="n"/>
      <c r="AE124" s="206" t="n"/>
      <c r="AF124" s="206" t="n"/>
      <c r="AG124" s="206" t="n"/>
      <c r="AH124" s="206" t="n"/>
      <c r="AI124" s="206" t="n"/>
      <c r="AJ124" s="207" t="n"/>
      <c r="AK124" s="207" t="n"/>
      <c r="AP124" s="120" t="n"/>
      <c r="AQ124" s="120" t="n"/>
      <c r="AR124" s="120" t="n"/>
      <c r="AS124" s="120" t="n"/>
    </row>
    <row r="125">
      <c r="A125" s="196" t="n"/>
      <c r="B125" s="266" t="inlineStr">
        <is>
          <t>Фоизли даромадлар / даромад келтирувчи активлар</t>
        </is>
      </c>
      <c r="C125" s="201">
        <f>+C83/(C10+C17+C24+C7)</f>
        <v/>
      </c>
      <c r="D125" s="201">
        <f>+D83/(D10+D17+D24+D7)</f>
        <v/>
      </c>
      <c r="E125" s="201">
        <f>+E83/(E10+E17+E24+E7)</f>
        <v/>
      </c>
      <c r="F125" s="201">
        <f>+F83/(F10+F17+F24+F7)</f>
        <v/>
      </c>
      <c r="G125" s="201">
        <f>+G83/(G10+G17+G24+G7)</f>
        <v/>
      </c>
      <c r="H125" s="201">
        <f>+H83/(H10+H17+H24+H7)</f>
        <v/>
      </c>
      <c r="I125" s="201">
        <f>+I83/(I10+I17+I24+I7)</f>
        <v/>
      </c>
      <c r="J125" s="201">
        <f>+J83/(J10+J17+J24+J7)</f>
        <v/>
      </c>
      <c r="K125" s="201">
        <f>+K83/(K10+K17+K24+K7)</f>
        <v/>
      </c>
      <c r="L125" s="201">
        <f>+L83/(L10+L17+L24+L7)</f>
        <v/>
      </c>
      <c r="M125" s="201">
        <f>+M83/(M10+M17+M24+M7)</f>
        <v/>
      </c>
      <c r="N125" s="201">
        <f>+N83/(N10+N17+N24+N7)</f>
        <v/>
      </c>
      <c r="O125" s="201">
        <f>+O83/(O10+O17+O24+O7)</f>
        <v/>
      </c>
      <c r="P125" s="201">
        <f>+P83/(P10+P17+P24+P7)</f>
        <v/>
      </c>
      <c r="Q125" s="201">
        <f>+Q83/(Q10+Q17+Q24+Q7)</f>
        <v/>
      </c>
      <c r="R125" s="201">
        <f>+R83/(R10+R17+R24+R7)</f>
        <v/>
      </c>
      <c r="S125" s="201">
        <f>+S83/(S10+S17+S24+S7)</f>
        <v/>
      </c>
      <c r="T125" s="201">
        <f>+T83/(T10+T17+T24+T7)</f>
        <v/>
      </c>
      <c r="U125" s="201">
        <f>+U83/(U10+U17+U24+U7)</f>
        <v/>
      </c>
      <c r="V125" s="201">
        <f>+V83/(V10+V17+V24+V7)</f>
        <v/>
      </c>
      <c r="W125" s="201">
        <f>+W83/(W10+W17+W24+W7)</f>
        <v/>
      </c>
      <c r="X125" s="201">
        <f>+X83/(X10+X17+X24+X7)</f>
        <v/>
      </c>
      <c r="Y125" s="201">
        <f>+Y83/(Y10+Y17+Y24+Y7)</f>
        <v/>
      </c>
      <c r="Z125" s="201">
        <f>+Z83/(Z10+Z17+Z24+Z7)</f>
        <v/>
      </c>
      <c r="AA125" s="201">
        <f>+AA83/(AA10+AA17+AA24+AA7)</f>
        <v/>
      </c>
      <c r="AB125" s="201">
        <f>+AB83/(AB10+AB17+AB24+AB7)</f>
        <v/>
      </c>
      <c r="AC125" s="201">
        <f>+AC83/(AC10+AC17+AC24+AC7)</f>
        <v/>
      </c>
      <c r="AD125" s="201">
        <f>+AD83/(AD10+AD17+AD24+AD7)</f>
        <v/>
      </c>
      <c r="AE125" s="201">
        <f>+AE83/(AE10+AE17+AE24+AE7)</f>
        <v/>
      </c>
      <c r="AF125" s="201">
        <f>+AF83/(AF10+AF17+AF24+AF7)</f>
        <v/>
      </c>
      <c r="AG125" s="201">
        <f>+AG83/(AG10+AG17+AG24+AG7)</f>
        <v/>
      </c>
      <c r="AH125" s="201">
        <f>+AH83/(AH10+AH17+AH24+AH7)</f>
        <v/>
      </c>
      <c r="AI125" s="201">
        <f>+AI83/(AI10+AI17+AI24+AI7)</f>
        <v/>
      </c>
      <c r="AJ125" s="202">
        <f>+AJ83/(AJ10+AJ17+AJ24+AJ7)</f>
        <v/>
      </c>
      <c r="AK125" s="202">
        <f>+AK83/(AK10+AK17+AK24+AK7)</f>
        <v/>
      </c>
      <c r="AL125" s="203">
        <f>+AVERAGE(C125:AK125)</f>
        <v/>
      </c>
      <c r="AM125" s="203">
        <f>+MAX(C125:AJ125)</f>
        <v/>
      </c>
      <c r="AN125" s="203">
        <f>+MIN(C125:AJ125)</f>
        <v/>
      </c>
      <c r="AP125" s="120" t="inlineStr">
        <is>
          <t>&lt;5%</t>
        </is>
      </c>
      <c r="AQ125" s="120" t="inlineStr">
        <is>
          <t>5%&lt;=…&lt;10%</t>
        </is>
      </c>
      <c r="AR125" s="120" t="inlineStr">
        <is>
          <t>10%&lt;=…&lt;15%</t>
        </is>
      </c>
      <c r="AS125" s="121" t="inlineStr">
        <is>
          <t>&gt;=15%</t>
        </is>
      </c>
    </row>
    <row r="126">
      <c r="A126" s="196" t="n"/>
      <c r="B126" s="294" t="n"/>
      <c r="C126" s="122">
        <f>IF(C125&gt;0,IF(AND(C125&gt;0%,C125&lt;$H$162),$H$163,IF(AND(C125&gt;=$I$162,C125&lt;$J$162),$I$163,IF(AND(C125&gt;=$J$162,C125&lt;$K$162),$J$163,$K$163))),0)</f>
        <v/>
      </c>
      <c r="D126" s="122">
        <f>IF(D125&gt;0,IF(AND(D125&gt;0%,D125&lt;$H$162),$H$163,IF(AND(D125&gt;=$I$162,D125&lt;$J$162),$I$163,IF(AND(D125&gt;=$J$162,D125&lt;$K$162),$J$163,$K$163))),0)</f>
        <v/>
      </c>
      <c r="E126" s="122">
        <f>IF(E125&gt;0,IF(AND(E125&gt;0%,E125&lt;$H$162),$H$163,IF(AND(E125&gt;=$I$162,E125&lt;$J$162),$I$163,IF(AND(E125&gt;=$J$162,E125&lt;$K$162),$J$163,$K$163))),0)</f>
        <v/>
      </c>
      <c r="F126" s="122">
        <f>IF(F125&gt;0,IF(AND(F125&gt;0%,F125&lt;$H$162),$H$163,IF(AND(F125&gt;=$I$162,F125&lt;$J$162),$I$163,IF(AND(F125&gt;=$J$162,F125&lt;$K$162),$J$163,$K$163))),0)</f>
        <v/>
      </c>
      <c r="G126" s="122">
        <f>IF(G125&gt;0,IF(AND(G125&gt;0%,G125&lt;$H$162),$H$163,IF(AND(G125&gt;=$I$162,G125&lt;$J$162),$I$163,IF(AND(G125&gt;=$J$162,G125&lt;$K$162),$J$163,$K$163))),0)</f>
        <v/>
      </c>
      <c r="H126" s="122">
        <f>IF(H125&gt;0,IF(AND(H125&gt;0%,H125&lt;$H$162),$H$163,IF(AND(H125&gt;=$I$162,H125&lt;$J$162),$I$163,IF(AND(H125&gt;=$J$162,H125&lt;$K$162),$J$163,$K$163))),0)</f>
        <v/>
      </c>
      <c r="I126" s="122">
        <f>IF(I125&gt;0,IF(AND(I125&gt;0%,I125&lt;$H$162),$H$163,IF(AND(I125&gt;=$I$162,I125&lt;$J$162),$I$163,IF(AND(I125&gt;=$J$162,I125&lt;$K$162),$J$163,$K$163))),0)</f>
        <v/>
      </c>
      <c r="J126" s="122">
        <f>IF(J125&gt;0,IF(AND(J125&gt;0%,J125&lt;$H$162),$H$163,IF(AND(J125&gt;=$I$162,J125&lt;$J$162),$I$163,IF(AND(J125&gt;=$J$162,J125&lt;$K$162),$J$163,$K$163))),0)</f>
        <v/>
      </c>
      <c r="K126" s="122">
        <f>IF(K125&gt;0,IF(AND(K125&gt;0%,K125&lt;$H$162),$H$163,IF(AND(K125&gt;=$I$162,K125&lt;$J$162),$I$163,IF(AND(K125&gt;=$J$162,K125&lt;$K$162),$J$163,$K$163))),0)</f>
        <v/>
      </c>
      <c r="L126" s="122">
        <f>IF(L125&gt;0,IF(AND(L125&gt;0%,L125&lt;$H$162),$H$163,IF(AND(L125&gt;=$I$162,L125&lt;$J$162),$I$163,IF(AND(L125&gt;=$J$162,L125&lt;$K$162),$J$163,$K$163))),0)</f>
        <v/>
      </c>
      <c r="M126" s="122">
        <f>IF(M125&gt;0,IF(AND(M125&gt;0%,M125&lt;$H$162),$H$163,IF(AND(M125&gt;=$I$162,M125&lt;$J$162),$I$163,IF(AND(M125&gt;=$J$162,M125&lt;$K$162),$J$163,$K$163))),0)</f>
        <v/>
      </c>
      <c r="N126" s="122">
        <f>IF(N125&gt;0,IF(AND(N125&gt;0%,N125&lt;$H$162),$H$163,IF(AND(N125&gt;=$I$162,N125&lt;$J$162),$I$163,IF(AND(N125&gt;=$J$162,N125&lt;$K$162),$J$163,$K$163))),0)</f>
        <v/>
      </c>
      <c r="O126" s="122">
        <f>IF(O125&gt;0,IF(AND(O125&gt;0%,O125&lt;$H$162),$H$163,IF(AND(O125&gt;=$I$162,O125&lt;$J$162),$I$163,IF(AND(O125&gt;=$J$162,O125&lt;$K$162),$J$163,$K$163))),0)</f>
        <v/>
      </c>
      <c r="P126" s="122">
        <f>IF(P125&gt;0,IF(AND(P125&gt;0%,P125&lt;$H$162),$H$163,IF(AND(P125&gt;=$I$162,P125&lt;$J$162),$I$163,IF(AND(P125&gt;=$J$162,P125&lt;$K$162),$J$163,$K$163))),0)</f>
        <v/>
      </c>
      <c r="Q126" s="122">
        <f>IF(Q125&gt;0,IF(AND(Q125&gt;0%,Q125&lt;$H$162),$H$163,IF(AND(Q125&gt;=$I$162,Q125&lt;$J$162),$I$163,IF(AND(Q125&gt;=$J$162,Q125&lt;$K$162),$J$163,$K$163))),0)</f>
        <v/>
      </c>
      <c r="R126" s="122">
        <f>IF(R125&gt;0,IF(AND(R125&gt;0%,R125&lt;$H$162),$H$163,IF(AND(R125&gt;=$I$162,R125&lt;$J$162),$I$163,IF(AND(R125&gt;=$J$162,R125&lt;$K$162),$J$163,$K$163))),0)</f>
        <v/>
      </c>
      <c r="S126" s="122">
        <f>IF(S125&gt;0,IF(AND(S125&gt;0%,S125&lt;$H$162),$H$163,IF(AND(S125&gt;=$I$162,S125&lt;$J$162),$I$163,IF(AND(S125&gt;=$J$162,S125&lt;$K$162),$J$163,$K$163))),0)</f>
        <v/>
      </c>
      <c r="T126" s="122">
        <f>IF(T125&gt;0,IF(AND(T125&gt;0%,T125&lt;$H$162),$H$163,IF(AND(T125&gt;=$I$162,T125&lt;$J$162),$I$163,IF(AND(T125&gt;=$J$162,T125&lt;$K$162),$J$163,$K$163))),0)</f>
        <v/>
      </c>
      <c r="U126" s="122">
        <f>IF(U125&gt;0,IF(AND(U125&gt;0%,U125&lt;$H$162),$H$163,IF(AND(U125&gt;=$I$162,U125&lt;$J$162),$I$163,IF(AND(U125&gt;=$J$162,U125&lt;$K$162),$J$163,$K$163))),0)</f>
        <v/>
      </c>
      <c r="V126" s="122">
        <f>IF(V125&gt;0,IF(AND(V125&gt;0%,V125&lt;$H$162),$H$163,IF(AND(V125&gt;=$I$162,V125&lt;$J$162),$I$163,IF(AND(V125&gt;=$J$162,V125&lt;$K$162),$J$163,$K$163))),0)</f>
        <v/>
      </c>
      <c r="W126" s="122">
        <f>IF(W125&gt;0,IF(AND(W125&gt;0%,W125&lt;$H$162),$H$163,IF(AND(W125&gt;=$I$162,W125&lt;$J$162),$I$163,IF(AND(W125&gt;=$J$162,W125&lt;$K$162),$J$163,$K$163))),0)</f>
        <v/>
      </c>
      <c r="X126" s="122">
        <f>IF(X125&gt;0,IF(AND(X125&gt;0%,X125&lt;$H$162),$H$163,IF(AND(X125&gt;=$I$162,X125&lt;$J$162),$I$163,IF(AND(X125&gt;=$J$162,X125&lt;$K$162),$J$163,$K$163))),0)</f>
        <v/>
      </c>
      <c r="Y126" s="122">
        <f>IF(Y125&gt;0,IF(AND(Y125&gt;0%,Y125&lt;$H$162),$H$163,IF(AND(Y125&gt;=$I$162,Y125&lt;$J$162),$I$163,IF(AND(Y125&gt;=$J$162,Y125&lt;$K$162),$J$163,$K$163))),0)</f>
        <v/>
      </c>
      <c r="Z126" s="122">
        <f>IF(Z125&gt;0,IF(AND(Z125&gt;0%,Z125&lt;$H$162),$H$163,IF(AND(Z125&gt;=$I$162,Z125&lt;$J$162),$I$163,IF(AND(Z125&gt;=$J$162,Z125&lt;$K$162),$J$163,$K$163))),0)</f>
        <v/>
      </c>
      <c r="AA126" s="122">
        <f>IF(AA125&gt;0,IF(AND(AA125&gt;0%,AA125&lt;$H$162),$H$163,IF(AND(AA125&gt;=$I$162,AA125&lt;$J$162),$I$163,IF(AND(AA125&gt;=$J$162,AA125&lt;$K$162),$J$163,$K$163))),0)</f>
        <v/>
      </c>
      <c r="AB126" s="122">
        <f>IF(AB125&gt;0,IF(AND(AB125&gt;0%,AB125&lt;$H$162),$H$163,IF(AND(AB125&gt;=$I$162,AB125&lt;$J$162),$I$163,IF(AND(AB125&gt;=$J$162,AB125&lt;$K$162),$J$163,$K$163))),0)</f>
        <v/>
      </c>
      <c r="AC126" s="122">
        <f>IF(AC125&gt;0,IF(AND(AC125&gt;0%,AC125&lt;$H$162),$H$163,IF(AND(AC125&gt;=$I$162,AC125&lt;$J$162),$I$163,IF(AND(AC125&gt;=$J$162,AC125&lt;$K$162),$J$163,$K$163))),0)</f>
        <v/>
      </c>
      <c r="AD126" s="122">
        <f>IF(AD125&gt;0,IF(AND(AD125&gt;0%,AD125&lt;$H$162),$H$163,IF(AND(AD125&gt;=$I$162,AD125&lt;$J$162),$I$163,IF(AND(AD125&gt;=$J$162,AD125&lt;$K$162),$J$163,$K$163))),0)</f>
        <v/>
      </c>
      <c r="AE126" s="122">
        <f>IF(AE125&gt;0,IF(AND(AE125&gt;0%,AE125&lt;$H$162),$H$163,IF(AND(AE125&gt;=$I$162,AE125&lt;$J$162),$I$163,IF(AND(AE125&gt;=$J$162,AE125&lt;$K$162),$J$163,$K$163))),0)</f>
        <v/>
      </c>
      <c r="AF126" s="122">
        <f>IF(AF125&gt;0,IF(AND(AF125&gt;0%,AF125&lt;$H$162),$H$163,IF(AND(AF125&gt;=$I$162,AF125&lt;$J$162),$I$163,IF(AND(AF125&gt;=$J$162,AF125&lt;$K$162),$J$163,$K$163))),0)</f>
        <v/>
      </c>
      <c r="AG126" s="122">
        <f>IF(AG125&gt;0,IF(AND(AG125&gt;0%,AG125&lt;$H$162),$H$163,IF(AND(AG125&gt;=$I$162,AG125&lt;$J$162),$I$163,IF(AND(AG125&gt;=$J$162,AG125&lt;$K$162),$J$163,$K$163))),0)</f>
        <v/>
      </c>
      <c r="AH126" s="122">
        <f>IF(AH125&gt;0,IF(AND(AH125&gt;0%,AH125&lt;$H$162),$H$163,IF(AND(AH125&gt;=$I$162,AH125&lt;$J$162),$I$163,IF(AND(AH125&gt;=$J$162,AH125&lt;$K$162),$J$163,$K$163))),0)</f>
        <v/>
      </c>
      <c r="AI126" s="122">
        <f>IF(AI125&gt;0,IF(AND(AI125&gt;0%,AI125&lt;$H$162),$H$163,IF(AND(AI125&gt;=$I$162,AI125&lt;$J$162),$I$163,IF(AND(AI125&gt;=$J$162,AI125&lt;$K$162),$J$163,$K$163))),0)</f>
        <v/>
      </c>
      <c r="AJ126" s="122">
        <f>IF(AJ125&gt;0,IF(AND(AJ125&gt;0%,AJ125&lt;$H$162),$H$163,IF(AND(AJ125&gt;=$I$162,AJ125&lt;$J$162),$I$163,IF(AND(AJ125&gt;=$J$162,AJ125&lt;$K$162),$J$163,$K$163))),0)</f>
        <v/>
      </c>
      <c r="AK126" s="122">
        <f>IF(AK125&gt;0,IF(AND(AK125&gt;0%,AK125&lt;$H$162),$H$163,IF(AND(AK125&gt;=$I$162,AK125&lt;$J$162),$I$163,IF(AND(AK125&gt;=$J$162,AK125&lt;$K$162),$J$163,$K$163))),0)</f>
        <v/>
      </c>
      <c r="AP126" s="120" t="n">
        <v>0</v>
      </c>
      <c r="AQ126" s="120" t="n">
        <v>5</v>
      </c>
      <c r="AR126" s="120" t="n">
        <v>10</v>
      </c>
      <c r="AS126" s="120" t="n">
        <v>15</v>
      </c>
      <c r="AU126" s="210">
        <f>+COUNTIF($C126:$AJ126,AP126)</f>
        <v/>
      </c>
      <c r="AV126" s="210">
        <f>+COUNTIF($C126:$AJ126,AQ126)</f>
        <v/>
      </c>
      <c r="AW126" s="210">
        <f>+COUNTIF($C126:$AJ126,AR126)</f>
        <v/>
      </c>
      <c r="AX126" s="210">
        <f>+COUNTIF($C126:$AJ126,AS126)</f>
        <v/>
      </c>
      <c r="AY126" s="168">
        <f>+SUM(AU126:AX126)</f>
        <v/>
      </c>
    </row>
    <row r="127" ht="15" customHeight="1">
      <c r="A127" s="196" t="n"/>
      <c r="B127" s="266" t="inlineStr">
        <is>
          <t>Ҳисобланган лекин ундирилмаган фоизлар / даромад келтирувчи активлар</t>
        </is>
      </c>
      <c r="C127" s="201">
        <f>+C31/(C7+C10+C17+C24)</f>
        <v/>
      </c>
      <c r="D127" s="201">
        <f>+D31/(D7+D10+D17+D24)</f>
        <v/>
      </c>
      <c r="E127" s="201">
        <f>+E31/(E7+E10+E17+E24)</f>
        <v/>
      </c>
      <c r="F127" s="201">
        <f>+F31/(F7+F10+F17+F24)</f>
        <v/>
      </c>
      <c r="G127" s="201">
        <f>+G31/(G7+G10+G17+G24)</f>
        <v/>
      </c>
      <c r="H127" s="201">
        <f>+H31/(H7+H10+H17+H24)</f>
        <v/>
      </c>
      <c r="I127" s="201">
        <f>+I31/(I7+I10+I17+I24)</f>
        <v/>
      </c>
      <c r="J127" s="201">
        <f>+J31/(J7+J10+J17+J24)</f>
        <v/>
      </c>
      <c r="K127" s="201">
        <f>+K31/(K7+K10+K17+K24)</f>
        <v/>
      </c>
      <c r="L127" s="201">
        <f>+L31/(L7+L10+L17+L24)</f>
        <v/>
      </c>
      <c r="M127" s="201">
        <f>+M31/(M7+M10+M17+M24)</f>
        <v/>
      </c>
      <c r="N127" s="201">
        <f>+N31/(N7+N10+N17+N24)</f>
        <v/>
      </c>
      <c r="O127" s="201">
        <f>+O31/(O7+O10+O17+O24)</f>
        <v/>
      </c>
      <c r="P127" s="201">
        <f>+P31/(P7+P10+P17+P24)</f>
        <v/>
      </c>
      <c r="Q127" s="201">
        <f>+Q31/(Q7+Q10+Q17+Q24)</f>
        <v/>
      </c>
      <c r="R127" s="201">
        <f>+R31/(R7+R10+R17+R24)</f>
        <v/>
      </c>
      <c r="S127" s="201">
        <f>+S31/(S7+S10+S17+S24)</f>
        <v/>
      </c>
      <c r="T127" s="201">
        <f>+T31/(T7+T10+T17+T24)</f>
        <v/>
      </c>
      <c r="U127" s="201">
        <f>+U31/(U7+U10+U17+U24)</f>
        <v/>
      </c>
      <c r="V127" s="201">
        <f>+V31/(V7+V10+V17+V24)</f>
        <v/>
      </c>
      <c r="W127" s="201">
        <f>+W31/(W7+W10+W17+W24)</f>
        <v/>
      </c>
      <c r="X127" s="201">
        <f>+X31/(X7+X10+X17+X24)</f>
        <v/>
      </c>
      <c r="Y127" s="201">
        <f>+Y31/(Y7+Y10+Y17+Y24)</f>
        <v/>
      </c>
      <c r="Z127" s="201">
        <f>+Z31/(Z7+Z10+Z17+Z24)</f>
        <v/>
      </c>
      <c r="AA127" s="201">
        <f>+AA31/(AA7+AA10+AA17+AA24)</f>
        <v/>
      </c>
      <c r="AB127" s="201">
        <f>+AB31/(AB7+AB10+AB17+AB24)</f>
        <v/>
      </c>
      <c r="AC127" s="201">
        <f>+AC31/(AC7+AC10+AC17+AC24)</f>
        <v/>
      </c>
      <c r="AD127" s="201">
        <f>+AD31/(AD7+AD10+AD17+AD24)</f>
        <v/>
      </c>
      <c r="AE127" s="201">
        <f>+AE31/(AE7+AE10+AE17+AE24)</f>
        <v/>
      </c>
      <c r="AF127" s="201">
        <f>+AF31/(AF7+AF10+AF17+AF24)</f>
        <v/>
      </c>
      <c r="AG127" s="201">
        <f>+AG31/(AG7+AG10+AG17+AG24)</f>
        <v/>
      </c>
      <c r="AH127" s="201">
        <f>+AH31/(AH7+AH10+AH17+AH24)</f>
        <v/>
      </c>
      <c r="AI127" s="201">
        <f>+AI31/(AI7+AI10+AI17+AI24)</f>
        <v/>
      </c>
      <c r="AJ127" s="202">
        <f>+AJ31/(AJ7+AJ10+AJ17+AJ24)</f>
        <v/>
      </c>
      <c r="AK127" s="202">
        <f>+AK31/(AK7+AK10+AK17+AK24)</f>
        <v/>
      </c>
      <c r="AL127" s="203">
        <f>+AVERAGE(C127:AJ127)</f>
        <v/>
      </c>
      <c r="AM127" s="203">
        <f>+MAX(C127:AJ127)</f>
        <v/>
      </c>
      <c r="AN127" s="203">
        <f>+MIN(C127:AJ127)</f>
        <v/>
      </c>
      <c r="AP127" s="120" t="inlineStr">
        <is>
          <t>&lt;1,5%</t>
        </is>
      </c>
      <c r="AQ127" s="120" t="inlineStr">
        <is>
          <t>1,5%&lt;=…&lt;3%</t>
        </is>
      </c>
      <c r="AR127" s="120" t="inlineStr">
        <is>
          <t>3%&lt;=…&lt;5%</t>
        </is>
      </c>
      <c r="AS127" s="121" t="inlineStr">
        <is>
          <t>&gt;=5%</t>
        </is>
      </c>
    </row>
    <row r="128" ht="15" customHeight="1">
      <c r="A128" s="196" t="n"/>
      <c r="B128" s="294" t="n"/>
      <c r="C128" s="122">
        <f>IF(C127&gt;0,IF(AND(C127&gt;0%,C127&lt;$H$164),$H$165,IF(AND(C127&gt;=$I$164,C127&lt;$J$164),$I$165,IF(AND(C127&gt;=$J$164,C127&lt;$K$164),$J$165,$K$165))),0)</f>
        <v/>
      </c>
      <c r="D128" s="122">
        <f>IF(D127&gt;0,IF(AND(D127&gt;0%,D127&lt;$H$164),$H$165,IF(AND(D127&gt;=$I$164,D127&lt;$J$164),$I$165,IF(AND(D127&gt;=$J$164,D127&lt;$K$164),$J$165,$K$165))),0)</f>
        <v/>
      </c>
      <c r="E128" s="122">
        <f>IF(E127&gt;0,IF(AND(E127&gt;0%,E127&lt;$H$164),$H$165,IF(AND(E127&gt;=$I$164,E127&lt;$J$164),$I$165,IF(AND(E127&gt;=$J$164,E127&lt;$K$164),$J$165,$K$165))),0)</f>
        <v/>
      </c>
      <c r="F128" s="122">
        <f>IF(F127&gt;0,IF(AND(F127&gt;0%,F127&lt;$H$164),$H$165,IF(AND(F127&gt;=$I$164,F127&lt;$J$164),$I$165,IF(AND(F127&gt;=$J$164,F127&lt;$K$164),$J$165,$K$165))),0)</f>
        <v/>
      </c>
      <c r="G128" s="122">
        <f>IF(G127&gt;0,IF(AND(G127&gt;0%,G127&lt;$H$164),$H$165,IF(AND(G127&gt;=$I$164,G127&lt;$J$164),$I$165,IF(AND(G127&gt;=$J$164,G127&lt;$K$164),$J$165,$K$165))),0)</f>
        <v/>
      </c>
      <c r="H128" s="122">
        <f>IF(H127&gt;0,IF(AND(H127&gt;0%,H127&lt;$H$164),$H$165,IF(AND(H127&gt;=$I$164,H127&lt;$J$164),$I$165,IF(AND(H127&gt;=$J$164,H127&lt;$K$164),$J$165,$K$165))),0)</f>
        <v/>
      </c>
      <c r="I128" s="122">
        <f>IF(I127&gt;0,IF(AND(I127&gt;0%,I127&lt;$H$164),$H$165,IF(AND(I127&gt;=$I$164,I127&lt;$J$164),$I$165,IF(AND(I127&gt;=$J$164,I127&lt;$K$164),$J$165,$K$165))),0)</f>
        <v/>
      </c>
      <c r="J128" s="122">
        <f>IF(J127&gt;0,IF(AND(J127&gt;0%,J127&lt;$H$164),$H$165,IF(AND(J127&gt;=$I$164,J127&lt;$J$164),$I$165,IF(AND(J127&gt;=$J$164,J127&lt;$K$164),$J$165,$K$165))),0)</f>
        <v/>
      </c>
      <c r="K128" s="122">
        <f>IF(K127&gt;0,IF(AND(K127&gt;0%,K127&lt;$H$164),$H$165,IF(AND(K127&gt;=$I$164,K127&lt;$J$164),$I$165,IF(AND(K127&gt;=$J$164,K127&lt;$K$164),$J$165,$K$165))),0)</f>
        <v/>
      </c>
      <c r="L128" s="122">
        <f>IF(L127&gt;0,IF(AND(L127&gt;0%,L127&lt;$H$164),$H$165,IF(AND(L127&gt;=$I$164,L127&lt;$J$164),$I$165,IF(AND(L127&gt;=$J$164,L127&lt;$K$164),$J$165,$K$165))),0)</f>
        <v/>
      </c>
      <c r="M128" s="122">
        <f>IF(M127&gt;0,IF(AND(M127&gt;0%,M127&lt;$H$164),$H$165,IF(AND(M127&gt;=$I$164,M127&lt;$J$164),$I$165,IF(AND(M127&gt;=$J$164,M127&lt;$K$164),$J$165,$K$165))),0)</f>
        <v/>
      </c>
      <c r="N128" s="122">
        <f>IF(N127&gt;0,IF(AND(N127&gt;0%,N127&lt;$H$164),$H$165,IF(AND(N127&gt;=$I$164,N127&lt;$J$164),$I$165,IF(AND(N127&gt;=$J$164,N127&lt;$K$164),$J$165,$K$165))),0)</f>
        <v/>
      </c>
      <c r="O128" s="122">
        <f>IF(O127&gt;0,IF(AND(O127&gt;0%,O127&lt;$H$164),$H$165,IF(AND(O127&gt;=$I$164,O127&lt;$J$164),$I$165,IF(AND(O127&gt;=$J$164,O127&lt;$K$164),$J$165,$K$165))),0)</f>
        <v/>
      </c>
      <c r="P128" s="122">
        <f>IF(P127&gt;0,IF(AND(P127&gt;0%,P127&lt;$H$164),$H$165,IF(AND(P127&gt;=$I$164,P127&lt;$J$164),$I$165,IF(AND(P127&gt;=$J$164,P127&lt;$K$164),$J$165,$K$165))),0)</f>
        <v/>
      </c>
      <c r="Q128" s="122">
        <f>IF(Q127&gt;0,IF(AND(Q127&gt;0%,Q127&lt;$H$164),$H$165,IF(AND(Q127&gt;=$I$164,Q127&lt;$J$164),$I$165,IF(AND(Q127&gt;=$J$164,Q127&lt;$K$164),$J$165,$K$165))),0)</f>
        <v/>
      </c>
      <c r="R128" s="122">
        <f>IF(R127&gt;0,IF(AND(R127&gt;0%,R127&lt;$H$164),$H$165,IF(AND(R127&gt;=$I$164,R127&lt;$J$164),$I$165,IF(AND(R127&gt;=$J$164,R127&lt;$K$164),$J$165,$K$165))),0)</f>
        <v/>
      </c>
      <c r="S128" s="122">
        <f>IF(S127&gt;0,IF(AND(S127&gt;0%,S127&lt;$H$164),$H$165,IF(AND(S127&gt;=$I$164,S127&lt;$J$164),$I$165,IF(AND(S127&gt;=$J$164,S127&lt;$K$164),$J$165,$K$165))),0)</f>
        <v/>
      </c>
      <c r="T128" s="122">
        <f>IF(T127&gt;0,IF(AND(T127&gt;0%,T127&lt;$H$164),$H$165,IF(AND(T127&gt;=$I$164,T127&lt;$J$164),$I$165,IF(AND(T127&gt;=$J$164,T127&lt;$K$164),$J$165,$K$165))),0)</f>
        <v/>
      </c>
      <c r="U128" s="122">
        <f>IF(U127&gt;0,IF(AND(U127&gt;0%,U127&lt;$H$164),$H$165,IF(AND(U127&gt;=$I$164,U127&lt;$J$164),$I$165,IF(AND(U127&gt;=$J$164,U127&lt;$K$164),$J$165,$K$165))),0)</f>
        <v/>
      </c>
      <c r="V128" s="122">
        <f>IF(V127&gt;0,IF(AND(V127&gt;0%,V127&lt;$H$164),$H$165,IF(AND(V127&gt;=$I$164,V127&lt;$J$164),$I$165,IF(AND(V127&gt;=$J$164,V127&lt;$K$164),$J$165,$K$165))),0)</f>
        <v/>
      </c>
      <c r="W128" s="122">
        <f>IF(W127&gt;0,IF(AND(W127&gt;0%,W127&lt;$H$164),$H$165,IF(AND(W127&gt;=$I$164,W127&lt;$J$164),$I$165,IF(AND(W127&gt;=$J$164,W127&lt;$K$164),$J$165,$K$165))),0)</f>
        <v/>
      </c>
      <c r="X128" s="122">
        <f>IF(X127&gt;0,IF(AND(X127&gt;0%,X127&lt;$H$164),$H$165,IF(AND(X127&gt;=$I$164,X127&lt;$J$164),$I$165,IF(AND(X127&gt;=$J$164,X127&lt;$K$164),$J$165,$K$165))),0)</f>
        <v/>
      </c>
      <c r="Y128" s="122">
        <f>IF(Y127&gt;0,IF(AND(Y127&gt;0%,Y127&lt;$H$164),$H$165,IF(AND(Y127&gt;=$I$164,Y127&lt;$J$164),$I$165,IF(AND(Y127&gt;=$J$164,Y127&lt;$K$164),$J$165,$K$165))),0)</f>
        <v/>
      </c>
      <c r="Z128" s="122">
        <f>IF(Z127&gt;0,IF(AND(Z127&gt;0%,Z127&lt;$H$164),$H$165,IF(AND(Z127&gt;=$I$164,Z127&lt;$J$164),$I$165,IF(AND(Z127&gt;=$J$164,Z127&lt;$K$164),$J$165,$K$165))),0)</f>
        <v/>
      </c>
      <c r="AA128" s="122">
        <f>IF(AA127&gt;0,IF(AND(AA127&gt;0%,AA127&lt;$H$164),$H$165,IF(AND(AA127&gt;=$I$164,AA127&lt;$J$164),$I$165,IF(AND(AA127&gt;=$J$164,AA127&lt;$K$164),$J$165,$K$165))),0)</f>
        <v/>
      </c>
      <c r="AB128" s="122">
        <f>IF(AB127&gt;0,IF(AND(AB127&gt;0%,AB127&lt;$H$164),$H$165,IF(AND(AB127&gt;=$I$164,AB127&lt;$J$164),$I$165,IF(AND(AB127&gt;=$J$164,AB127&lt;$K$164),$J$165,$K$165))),0)</f>
        <v/>
      </c>
      <c r="AC128" s="122">
        <f>IF(AC127&gt;0,IF(AND(AC127&gt;0%,AC127&lt;$H$164),$H$165,IF(AND(AC127&gt;=$I$164,AC127&lt;$J$164),$I$165,IF(AND(AC127&gt;=$J$164,AC127&lt;$K$164),$J$165,$K$165))),0)</f>
        <v/>
      </c>
      <c r="AD128" s="122">
        <f>IF(AD127&gt;0,IF(AND(AD127&gt;0%,AD127&lt;$H$164),$H$165,IF(AND(AD127&gt;=$I$164,AD127&lt;$J$164),$I$165,IF(AND(AD127&gt;=$J$164,AD127&lt;$K$164),$J$165,$K$165))),0)</f>
        <v/>
      </c>
      <c r="AE128" s="122">
        <f>IF(AE127&gt;0,IF(AND(AE127&gt;0%,AE127&lt;$H$164),$H$165,IF(AND(AE127&gt;=$I$164,AE127&lt;$J$164),$I$165,IF(AND(AE127&gt;=$J$164,AE127&lt;$K$164),$J$165,$K$165))),0)</f>
        <v/>
      </c>
      <c r="AF128" s="122">
        <f>IF(AF127&gt;0,IF(AND(AF127&gt;0%,AF127&lt;$H$164),$H$165,IF(AND(AF127&gt;=$I$164,AF127&lt;$J$164),$I$165,IF(AND(AF127&gt;=$J$164,AF127&lt;$K$164),$J$165,$K$165))),0)</f>
        <v/>
      </c>
      <c r="AG128" s="122">
        <f>IF(AG127&gt;0,IF(AND(AG127&gt;0%,AG127&lt;$H$164),$H$165,IF(AND(AG127&gt;=$I$164,AG127&lt;$J$164),$I$165,IF(AND(AG127&gt;=$J$164,AG127&lt;$K$164),$J$165,$K$165))),0)</f>
        <v/>
      </c>
      <c r="AH128" s="122">
        <f>IF(AH127&gt;0,IF(AND(AH127&gt;0%,AH127&lt;$H$164),$H$165,IF(AND(AH127&gt;=$I$164,AH127&lt;$J$164),$I$165,IF(AND(AH127&gt;=$J$164,AH127&lt;$K$164),$J$165,$K$165))),0)</f>
        <v/>
      </c>
      <c r="AI128" s="122">
        <f>IF(AI127&gt;0,IF(AND(AI127&gt;0%,AI127&lt;$H$164),$H$165,IF(AND(AI127&gt;=$I$164,AI127&lt;$J$164),$I$165,IF(AND(AI127&gt;=$J$164,AI127&lt;$K$164),$J$165,$K$165))),0)</f>
        <v/>
      </c>
      <c r="AJ128" s="122">
        <f>IF(AJ127&gt;0,IF(AND(AJ127&gt;0%,AJ127&lt;$H$164),$H$165,IF(AND(AJ127&gt;=$I$164,AJ127&lt;$J$164),$I$165,IF(AND(AJ127&gt;=$J$164,AJ127&lt;$K$164),$J$165,$K$165))),0)</f>
        <v/>
      </c>
      <c r="AK128" s="122">
        <f>IF(AK127&gt;0,IF(AND(AK127&gt;0%,AK127&lt;$H$164),$H$165,IF(AND(AK127&gt;=$I$164,AK127&lt;$J$164),$I$165,IF(AND(AK127&gt;=$J$164,AK127&lt;$K$164),$J$165,$K$165))),0)</f>
        <v/>
      </c>
      <c r="AP128" s="120" t="n">
        <v>15</v>
      </c>
      <c r="AQ128" s="120" t="n">
        <v>10</v>
      </c>
      <c r="AR128" s="120" t="n">
        <v>5</v>
      </c>
      <c r="AS128" s="120" t="n">
        <v>0</v>
      </c>
      <c r="AU128" s="210">
        <f>+COUNTIF($C128:$AJ128,AP128)</f>
        <v/>
      </c>
      <c r="AV128" s="210">
        <f>+COUNTIF($C128:$AJ128,AQ128)</f>
        <v/>
      </c>
      <c r="AW128" s="210">
        <f>+COUNTIF($C128:$AJ128,AR128)</f>
        <v/>
      </c>
      <c r="AX128" s="210">
        <f>+COUNTIF($C128:$AJ128,AS128)</f>
        <v/>
      </c>
      <c r="AY128" s="168">
        <f>+SUM(AU128:AX128)</f>
        <v/>
      </c>
    </row>
    <row r="129" ht="15" customHeight="1">
      <c r="A129" s="196" t="n"/>
      <c r="B129" s="266" t="inlineStr">
        <is>
          <t>Ҳисобланган лекин ундирилмаган фоизлар / даромадлар</t>
        </is>
      </c>
      <c r="C129" s="201">
        <f>+C31/(C83+C90)</f>
        <v/>
      </c>
      <c r="D129" s="201">
        <f>+D31/(D83+D90)</f>
        <v/>
      </c>
      <c r="E129" s="201">
        <f>+E31/(E83+E90)</f>
        <v/>
      </c>
      <c r="F129" s="201">
        <f>+F31/(F83+F90)</f>
        <v/>
      </c>
      <c r="G129" s="201">
        <f>+G31/(G83+G90)</f>
        <v/>
      </c>
      <c r="H129" s="201">
        <f>+H31/(H83+H90)</f>
        <v/>
      </c>
      <c r="I129" s="201">
        <f>+I31/(I83+I90)</f>
        <v/>
      </c>
      <c r="J129" s="201">
        <f>+J31/(J83+J90)</f>
        <v/>
      </c>
      <c r="K129" s="201">
        <f>+K31/(K83+K90)</f>
        <v/>
      </c>
      <c r="L129" s="201">
        <f>+L31/(L83+L90)</f>
        <v/>
      </c>
      <c r="M129" s="201">
        <f>+M31/(M83+M90)</f>
        <v/>
      </c>
      <c r="N129" s="201">
        <f>+N31/(N83+N90)</f>
        <v/>
      </c>
      <c r="O129" s="201">
        <f>+O31/(O83+O90)</f>
        <v/>
      </c>
      <c r="P129" s="201">
        <f>+P31/(P83+P90)</f>
        <v/>
      </c>
      <c r="Q129" s="201">
        <f>+Q31/(Q83+Q90)</f>
        <v/>
      </c>
      <c r="R129" s="201">
        <f>+R31/(R83+R90)</f>
        <v/>
      </c>
      <c r="S129" s="201">
        <f>+S31/(S83+S90)</f>
        <v/>
      </c>
      <c r="T129" s="201">
        <f>+T31/(T83+T90)</f>
        <v/>
      </c>
      <c r="U129" s="201">
        <f>+U31/(U83+U90)</f>
        <v/>
      </c>
      <c r="V129" s="201">
        <f>+V31/(V83+V90)</f>
        <v/>
      </c>
      <c r="W129" s="201">
        <f>+W31/(W83+W90)</f>
        <v/>
      </c>
      <c r="X129" s="201">
        <f>+X31/(X83+X90)</f>
        <v/>
      </c>
      <c r="Y129" s="201">
        <f>+Y31/(Y83+Y90)</f>
        <v/>
      </c>
      <c r="Z129" s="201">
        <f>+Z31/(Z83+Z90)</f>
        <v/>
      </c>
      <c r="AA129" s="201">
        <f>+AA31/(AA83+AA90)</f>
        <v/>
      </c>
      <c r="AB129" s="201">
        <f>+AB31/(AB83+AB90)</f>
        <v/>
      </c>
      <c r="AC129" s="201">
        <f>+AC31/(AC83+AC90)</f>
        <v/>
      </c>
      <c r="AD129" s="201">
        <f>+AD31/(AD83+AD90)</f>
        <v/>
      </c>
      <c r="AE129" s="201">
        <f>+AE31/(AE83+AE90)</f>
        <v/>
      </c>
      <c r="AF129" s="201">
        <f>+AF31/(AF83+AF90)</f>
        <v/>
      </c>
      <c r="AG129" s="201">
        <f>+AG31/(AG83+AG90)</f>
        <v/>
      </c>
      <c r="AH129" s="201">
        <f>+AH31/(AH83+AH90)</f>
        <v/>
      </c>
      <c r="AI129" s="201">
        <f>+AI31/(AI83+AI90)</f>
        <v/>
      </c>
      <c r="AJ129" s="202">
        <f>+AJ31/(AJ83+AJ90)</f>
        <v/>
      </c>
      <c r="AK129" s="202">
        <f>+AK31/(AK83+AK90)</f>
        <v/>
      </c>
      <c r="AL129" s="203">
        <f>+AVERAGE(C129:AK129)</f>
        <v/>
      </c>
      <c r="AM129" s="203">
        <f>+MAX(C129:AJ129)</f>
        <v/>
      </c>
      <c r="AN129" s="203">
        <f>+MIN(C129:AJ129)</f>
        <v/>
      </c>
      <c r="AP129" s="120" t="inlineStr">
        <is>
          <t>&lt;7%</t>
        </is>
      </c>
      <c r="AQ129" s="120" t="inlineStr">
        <is>
          <t>7%&lt;=…&lt;10%</t>
        </is>
      </c>
      <c r="AR129" s="120" t="inlineStr">
        <is>
          <t>10%&lt;=…&lt;15%</t>
        </is>
      </c>
      <c r="AS129" s="121" t="inlineStr">
        <is>
          <t>&gt;=15%</t>
        </is>
      </c>
    </row>
    <row r="130" ht="15" customHeight="1" thickBot="1">
      <c r="A130" s="196" t="n"/>
      <c r="B130" s="294" t="n"/>
      <c r="C130" s="122">
        <f>IF(C129&gt;0,IF(AND(C129&gt;0%,C129&lt;$H$166),$H$167,IF(AND(C129&gt;=$I$166,C129&lt;$J$166),$I$167,IF(AND(C129&gt;=$J$166,C129&lt;$K$166),$J$167,$K$167))),0)</f>
        <v/>
      </c>
      <c r="D130" s="122">
        <f>IF(D129&gt;0,IF(AND(D129&gt;0%,D129&lt;$H$166),$H$167,IF(AND(D129&gt;=$I$166,D129&lt;$J$166),$I$167,IF(AND(D129&gt;=$J$166,D129&lt;$K$166),$J$167,$K$167))),0)</f>
        <v/>
      </c>
      <c r="E130" s="122">
        <f>IF(E129&gt;0,IF(AND(E129&gt;0%,E129&lt;$H$166),$H$167,IF(AND(E129&gt;=$I$166,E129&lt;$J$166),$I$167,IF(AND(E129&gt;=$J$166,E129&lt;$K$166),$J$167,$K$167))),0)</f>
        <v/>
      </c>
      <c r="F130" s="122">
        <f>IF(F129&gt;0,IF(AND(F129&gt;0%,F129&lt;$H$166),$H$167,IF(AND(F129&gt;=$I$166,F129&lt;$J$166),$I$167,IF(AND(F129&gt;=$J$166,F129&lt;$K$166),$J$167,$K$167))),0)</f>
        <v/>
      </c>
      <c r="G130" s="122">
        <f>IF(G129&gt;0,IF(AND(G129&gt;0%,G129&lt;$H$166),$H$167,IF(AND(G129&gt;=$I$166,G129&lt;$J$166),$I$167,IF(AND(G129&gt;=$J$166,G129&lt;$K$166),$J$167,$K$167))),0)</f>
        <v/>
      </c>
      <c r="H130" s="122">
        <f>IF(H129&gt;0,IF(AND(H129&gt;0%,H129&lt;$H$166),$H$167,IF(AND(H129&gt;=$I$166,H129&lt;$J$166),$I$167,IF(AND(H129&gt;=$J$166,H129&lt;$K$166),$J$167,$K$167))),0)</f>
        <v/>
      </c>
      <c r="I130" s="122">
        <f>IF(I129&gt;0,IF(AND(I129&gt;0%,I129&lt;$H$166),$H$167,IF(AND(I129&gt;=$I$166,I129&lt;$J$166),$I$167,IF(AND(I129&gt;=$J$166,I129&lt;$K$166),$J$167,$K$167))),0)</f>
        <v/>
      </c>
      <c r="J130" s="122">
        <f>IF(J129&gt;0,IF(AND(J129&gt;0%,J129&lt;$H$166),$H$167,IF(AND(J129&gt;=$I$166,J129&lt;$J$166),$I$167,IF(AND(J129&gt;=$J$166,J129&lt;$K$166),$J$167,$K$167))),0)</f>
        <v/>
      </c>
      <c r="K130" s="122">
        <f>IF(K129&gt;0,IF(AND(K129&gt;0%,K129&lt;$H$166),$H$167,IF(AND(K129&gt;=$I$166,K129&lt;$J$166),$I$167,IF(AND(K129&gt;=$J$166,K129&lt;$K$166),$J$167,$K$167))),0)</f>
        <v/>
      </c>
      <c r="L130" s="122">
        <f>IF(L129&gt;0,IF(AND(L129&gt;0%,L129&lt;$H$166),$H$167,IF(AND(L129&gt;=$I$166,L129&lt;$J$166),$I$167,IF(AND(L129&gt;=$J$166,L129&lt;$K$166),$J$167,$K$167))),0)</f>
        <v/>
      </c>
      <c r="M130" s="122">
        <f>IF(M129&gt;0,IF(AND(M129&gt;0%,M129&lt;$H$166),$H$167,IF(AND(M129&gt;=$I$166,M129&lt;$J$166),$I$167,IF(AND(M129&gt;=$J$166,M129&lt;$K$166),$J$167,$K$167))),0)</f>
        <v/>
      </c>
      <c r="N130" s="122">
        <f>IF(N129&gt;0,IF(AND(N129&gt;0%,N129&lt;$H$166),$H$167,IF(AND(N129&gt;=$I$166,N129&lt;$J$166),$I$167,IF(AND(N129&gt;=$J$166,N129&lt;$K$166),$J$167,$K$167))),0)</f>
        <v/>
      </c>
      <c r="O130" s="122">
        <f>IF(O129&gt;0,IF(AND(O129&gt;0%,O129&lt;$H$166),$H$167,IF(AND(O129&gt;=$I$166,O129&lt;$J$166),$I$167,IF(AND(O129&gt;=$J$166,O129&lt;$K$166),$J$167,$K$167))),0)</f>
        <v/>
      </c>
      <c r="P130" s="122">
        <f>IF(P129&gt;0,IF(AND(P129&gt;0%,P129&lt;$H$166),$H$167,IF(AND(P129&gt;=$I$166,P129&lt;$J$166),$I$167,IF(AND(P129&gt;=$J$166,P129&lt;$K$166),$J$167,$K$167))),0)</f>
        <v/>
      </c>
      <c r="Q130" s="122">
        <f>IF(Q129&gt;0,IF(AND(Q129&gt;0%,Q129&lt;$H$166),$H$167,IF(AND(Q129&gt;=$I$166,Q129&lt;$J$166),$I$167,IF(AND(Q129&gt;=$J$166,Q129&lt;$K$166),$J$167,$K$167))),0)</f>
        <v/>
      </c>
      <c r="R130" s="122">
        <f>IF(R129&gt;0,IF(AND(R129&gt;0%,R129&lt;$H$166),$H$167,IF(AND(R129&gt;=$I$166,R129&lt;$J$166),$I$167,IF(AND(R129&gt;=$J$166,R129&lt;$K$166),$J$167,$K$167))),0)</f>
        <v/>
      </c>
      <c r="S130" s="122">
        <f>IF(S129&gt;0,IF(AND(S129&gt;0%,S129&lt;$H$166),$H$167,IF(AND(S129&gt;=$I$166,S129&lt;$J$166),$I$167,IF(AND(S129&gt;=$J$166,S129&lt;$K$166),$J$167,$K$167))),0)</f>
        <v/>
      </c>
      <c r="T130" s="122">
        <f>IF(T129&gt;0,IF(AND(T129&gt;0%,T129&lt;$H$166),$H$167,IF(AND(T129&gt;=$I$166,T129&lt;$J$166),$I$167,IF(AND(T129&gt;=$J$166,T129&lt;$K$166),$J$167,$K$167))),0)</f>
        <v/>
      </c>
      <c r="U130" s="122">
        <f>IF(U129&gt;0,IF(AND(U129&gt;0%,U129&lt;$H$166),$H$167,IF(AND(U129&gt;=$I$166,U129&lt;$J$166),$I$167,IF(AND(U129&gt;=$J$166,U129&lt;$K$166),$J$167,$K$167))),0)</f>
        <v/>
      </c>
      <c r="V130" s="122">
        <f>IF(V129&gt;0,IF(AND(V129&gt;0%,V129&lt;$H$166),$H$167,IF(AND(V129&gt;=$I$166,V129&lt;$J$166),$I$167,IF(AND(V129&gt;=$J$166,V129&lt;$K$166),$J$167,$K$167))),0)</f>
        <v/>
      </c>
      <c r="W130" s="122">
        <f>IF(W129&gt;0,IF(AND(W129&gt;0%,W129&lt;$H$166),$H$167,IF(AND(W129&gt;=$I$166,W129&lt;$J$166),$I$167,IF(AND(W129&gt;=$J$166,W129&lt;$K$166),$J$167,$K$167))),0)</f>
        <v/>
      </c>
      <c r="X130" s="122">
        <f>IF(X129&gt;0,IF(AND(X129&gt;0%,X129&lt;$H$166),$H$167,IF(AND(X129&gt;=$I$166,X129&lt;$J$166),$I$167,IF(AND(X129&gt;=$J$166,X129&lt;$K$166),$J$167,$K$167))),0)</f>
        <v/>
      </c>
      <c r="Y130" s="122">
        <f>IF(Y129&gt;0,IF(AND(Y129&gt;0%,Y129&lt;$H$166),$H$167,IF(AND(Y129&gt;=$I$166,Y129&lt;$J$166),$I$167,IF(AND(Y129&gt;=$J$166,Y129&lt;$K$166),$J$167,$K$167))),0)</f>
        <v/>
      </c>
      <c r="Z130" s="122">
        <f>IF(Z129&gt;0,IF(AND(Z129&gt;0%,Z129&lt;$H$166),$H$167,IF(AND(Z129&gt;=$I$166,Z129&lt;$J$166),$I$167,IF(AND(Z129&gt;=$J$166,Z129&lt;$K$166),$J$167,$K$167))),0)</f>
        <v/>
      </c>
      <c r="AA130" s="122">
        <f>IF(AA129&gt;0,IF(AND(AA129&gt;0%,AA129&lt;$H$166),$H$167,IF(AND(AA129&gt;=$I$166,AA129&lt;$J$166),$I$167,IF(AND(AA129&gt;=$J$166,AA129&lt;$K$166),$J$167,$K$167))),0)</f>
        <v/>
      </c>
      <c r="AB130" s="122">
        <f>IF(AB129&gt;0,IF(AND(AB129&gt;0%,AB129&lt;$H$166),$H$167,IF(AND(AB129&gt;=$I$166,AB129&lt;$J$166),$I$167,IF(AND(AB129&gt;=$J$166,AB129&lt;$K$166),$J$167,$K$167))),0)</f>
        <v/>
      </c>
      <c r="AC130" s="122">
        <f>IF(AC129&gt;0,IF(AND(AC129&gt;0%,AC129&lt;$H$166),$H$167,IF(AND(AC129&gt;=$I$166,AC129&lt;$J$166),$I$167,IF(AND(AC129&gt;=$J$166,AC129&lt;$K$166),$J$167,$K$167))),0)</f>
        <v/>
      </c>
      <c r="AD130" s="122">
        <f>IF(AD129&gt;0,IF(AND(AD129&gt;0%,AD129&lt;$H$166),$H$167,IF(AND(AD129&gt;=$I$166,AD129&lt;$J$166),$I$167,IF(AND(AD129&gt;=$J$166,AD129&lt;$K$166),$J$167,$K$167))),0)</f>
        <v/>
      </c>
      <c r="AE130" s="122">
        <f>IF(AE129&gt;0,IF(AND(AE129&gt;0%,AE129&lt;$H$166),$H$167,IF(AND(AE129&gt;=$I$166,AE129&lt;$J$166),$I$167,IF(AND(AE129&gt;=$J$166,AE129&lt;$K$166),$J$167,$K$167))),0)</f>
        <v/>
      </c>
      <c r="AF130" s="122">
        <f>IF(AF129&gt;0,IF(AND(AF129&gt;0%,AF129&lt;$H$166),$H$167,IF(AND(AF129&gt;=$I$166,AF129&lt;$J$166),$I$167,IF(AND(AF129&gt;=$J$166,AF129&lt;$K$166),$J$167,$K$167))),0)</f>
        <v/>
      </c>
      <c r="AG130" s="122">
        <f>IF(AG129&gt;0,IF(AND(AG129&gt;0%,AG129&lt;$H$166),$H$167,IF(AND(AG129&gt;=$I$166,AG129&lt;$J$166),$I$167,IF(AND(AG129&gt;=$J$166,AG129&lt;$K$166),$J$167,$K$167))),0)</f>
        <v/>
      </c>
      <c r="AH130" s="122">
        <f>IF(AH129&gt;0,IF(AND(AH129&gt;0%,AH129&lt;$H$166),$H$167,IF(AND(AH129&gt;=$I$166,AH129&lt;$J$166),$I$167,IF(AND(AH129&gt;=$J$166,AH129&lt;$K$166),$J$167,$K$167))),0)</f>
        <v/>
      </c>
      <c r="AI130" s="122">
        <f>IF(AI129&gt;0,IF(AND(AI129&gt;0%,AI129&lt;$H$166),$H$167,IF(AND(AI129&gt;=$I$166,AI129&lt;$J$166),$I$167,IF(AND(AI129&gt;=$J$166,AI129&lt;$K$166),$J$167,$K$167))),0)</f>
        <v/>
      </c>
      <c r="AJ130" s="122">
        <f>IF(AJ129&gt;0,IF(AND(AJ129&gt;0%,AJ129&lt;$H$166),$H$167,IF(AND(AJ129&gt;=$I$166,AJ129&lt;$J$166),$I$167,IF(AND(AJ129&gt;=$J$166,AJ129&lt;$K$166),$J$167,$K$167))),0)</f>
        <v/>
      </c>
      <c r="AK130" s="122">
        <f>IF(AK129&gt;0,IF(AND(AK129&gt;0%,AK129&lt;$H$166),$H$167,IF(AND(AK129&gt;=$I$166,AK129&lt;$J$166),$I$167,IF(AND(AK129&gt;=$J$166,AK129&lt;$K$166),$J$167,$K$167))),0)</f>
        <v/>
      </c>
      <c r="AP130" s="120" t="n">
        <v>15</v>
      </c>
      <c r="AQ130" s="120" t="n">
        <v>10</v>
      </c>
      <c r="AR130" s="120" t="n">
        <v>5</v>
      </c>
      <c r="AS130" s="120" t="n">
        <v>0</v>
      </c>
      <c r="AU130" s="210">
        <f>+COUNTIF($C130:$AJ130,AP130)</f>
        <v/>
      </c>
      <c r="AV130" s="210">
        <f>+COUNTIF($C130:$AJ130,AQ130)</f>
        <v/>
      </c>
      <c r="AW130" s="210">
        <f>+COUNTIF($C130:$AJ130,AR130)</f>
        <v/>
      </c>
      <c r="AX130" s="210">
        <f>+COUNTIF($C130:$AJ130,AS130)</f>
        <v/>
      </c>
      <c r="AY130" s="168">
        <f>+SUM(AU130:AX130)</f>
        <v/>
      </c>
    </row>
    <row r="131">
      <c r="A131" s="197" t="n"/>
      <c r="B131" s="119" t="inlineStr">
        <is>
          <t>Рентабеллик кўрсаткичи</t>
        </is>
      </c>
      <c r="C131" s="206" t="n"/>
      <c r="D131" s="206" t="n"/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06" t="n"/>
      <c r="N131" s="206" t="n"/>
      <c r="O131" s="206" t="n"/>
      <c r="P131" s="206" t="n"/>
      <c r="Q131" s="206" t="n"/>
      <c r="R131" s="206" t="n"/>
      <c r="S131" s="206" t="n"/>
      <c r="T131" s="206" t="n"/>
      <c r="U131" s="206" t="n"/>
      <c r="V131" s="206" t="n"/>
      <c r="W131" s="206" t="n"/>
      <c r="X131" s="206" t="n"/>
      <c r="Y131" s="206" t="n"/>
      <c r="Z131" s="206" t="n"/>
      <c r="AA131" s="206" t="n"/>
      <c r="AB131" s="206" t="n"/>
      <c r="AC131" s="206" t="n"/>
      <c r="AD131" s="206" t="n"/>
      <c r="AE131" s="206" t="n"/>
      <c r="AF131" s="206" t="n"/>
      <c r="AG131" s="206" t="n"/>
      <c r="AH131" s="206" t="n"/>
      <c r="AI131" s="206" t="n"/>
      <c r="AJ131" s="207" t="n"/>
      <c r="AK131" s="207" t="n"/>
      <c r="AP131" s="120" t="n"/>
      <c r="AQ131" s="120" t="n"/>
      <c r="AR131" s="120" t="n"/>
      <c r="AS131" s="120" t="n"/>
    </row>
    <row r="132">
      <c r="A132" s="196" t="n"/>
      <c r="B132" s="266" t="inlineStr">
        <is>
          <t>Соф фойда (ўртача йиллик) / жами активлар</t>
        </is>
      </c>
      <c r="C132" s="201">
        <f>+C95/3*12/C47</f>
        <v/>
      </c>
      <c r="D132" s="201">
        <f>+D95/3*12/D47</f>
        <v/>
      </c>
      <c r="E132" s="201">
        <f>+E95/3*12/E47</f>
        <v/>
      </c>
      <c r="F132" s="201">
        <f>+F95/3*12/F47</f>
        <v/>
      </c>
      <c r="G132" s="201">
        <f>+G95/3*12/G47</f>
        <v/>
      </c>
      <c r="H132" s="201">
        <f>+H95/3*12/H47</f>
        <v/>
      </c>
      <c r="I132" s="201">
        <f>+I95/3*12/I47</f>
        <v/>
      </c>
      <c r="J132" s="201">
        <f>+J95/3*12/J47</f>
        <v/>
      </c>
      <c r="K132" s="201">
        <f>+K95/3*12/K47</f>
        <v/>
      </c>
      <c r="L132" s="201">
        <f>+L95/3*12/L47</f>
        <v/>
      </c>
      <c r="M132" s="201">
        <f>+M95/3*12/M47</f>
        <v/>
      </c>
      <c r="N132" s="201">
        <f>+N95/3*12/N47</f>
        <v/>
      </c>
      <c r="O132" s="201">
        <f>+O95/3*12/O47</f>
        <v/>
      </c>
      <c r="P132" s="201">
        <f>+P95/3*12/P47</f>
        <v/>
      </c>
      <c r="Q132" s="201">
        <f>+Q95/3*12/Q47</f>
        <v/>
      </c>
      <c r="R132" s="201">
        <f>+R95/3*12/R47</f>
        <v/>
      </c>
      <c r="S132" s="201">
        <f>+S95/3*12/S47</f>
        <v/>
      </c>
      <c r="T132" s="201">
        <f>+T95/3*12/T47</f>
        <v/>
      </c>
      <c r="U132" s="201">
        <f>+U95/3*12/U47</f>
        <v/>
      </c>
      <c r="V132" s="201">
        <f>+V95/3*12/V47</f>
        <v/>
      </c>
      <c r="W132" s="201">
        <f>+W95/3*12/W47</f>
        <v/>
      </c>
      <c r="X132" s="201">
        <f>+X95/3*12/X47</f>
        <v/>
      </c>
      <c r="Y132" s="201">
        <f>+Y95/3*12/Y47</f>
        <v/>
      </c>
      <c r="Z132" s="201">
        <f>+Z95/3*12/Z47</f>
        <v/>
      </c>
      <c r="AA132" s="201">
        <f>+AA95/3*12/AA47</f>
        <v/>
      </c>
      <c r="AB132" s="201">
        <f>+AB95/3*12/AB47</f>
        <v/>
      </c>
      <c r="AC132" s="201">
        <f>+AC95/3*12/AC47</f>
        <v/>
      </c>
      <c r="AD132" s="201">
        <f>+AD95/3*12/AD47</f>
        <v/>
      </c>
      <c r="AE132" s="201">
        <f>+AE95/3*12/AE47</f>
        <v/>
      </c>
      <c r="AF132" s="201">
        <f>+AF95/3*12/AF47</f>
        <v/>
      </c>
      <c r="AG132" s="201">
        <f>+AG95/3*12/AG47</f>
        <v/>
      </c>
      <c r="AH132" s="201">
        <f>+AH95/3*12/AH47</f>
        <v/>
      </c>
      <c r="AI132" s="201">
        <f>+AI95/3*12/AI47</f>
        <v/>
      </c>
      <c r="AJ132" s="202">
        <f>+AJ95/3*12/AJ47</f>
        <v/>
      </c>
      <c r="AK132" s="202">
        <f>+AK95/3*12/AK47</f>
        <v/>
      </c>
      <c r="AL132" s="203">
        <f>+AVERAGE(C132:AJ132)</f>
        <v/>
      </c>
      <c r="AM132" s="203">
        <f>+MAX(C132:AJ132)</f>
        <v/>
      </c>
      <c r="AN132" s="203">
        <f>+MIN(C132:AJ132)</f>
        <v/>
      </c>
      <c r="AP132" s="120" t="inlineStr">
        <is>
          <t>&lt;1%</t>
        </is>
      </c>
      <c r="AQ132" s="120" t="inlineStr">
        <is>
          <t>1%&lt;=…&lt;2%</t>
        </is>
      </c>
      <c r="AR132" s="120" t="inlineStr">
        <is>
          <t>2%&lt;=…&lt;3%</t>
        </is>
      </c>
      <c r="AS132" s="121" t="inlineStr">
        <is>
          <t>&gt;=3%</t>
        </is>
      </c>
    </row>
    <row r="133">
      <c r="A133" s="196" t="n"/>
      <c r="B133" s="294" t="n"/>
      <c r="C133" s="122">
        <f>IF(C132&gt;0,IF(AND(C132&gt;0%,C132&lt;$H$169),$H$170,IF(AND(C132&gt;=$I$169,C132&lt;$J$169),$I$170,IF(AND(C132&gt;=$J$169,C132&lt;$K$169),$J$170,$K$170))),0)</f>
        <v/>
      </c>
      <c r="D133" s="122">
        <f>IF(D132&gt;0,IF(AND(D132&gt;0%,D132&lt;$H$169),$H$170,IF(AND(D132&gt;=$I$169,D132&lt;$J$169),$I$170,IF(AND(D132&gt;=$J$169,D132&lt;$K$169),$J$170,$K$170))),0)</f>
        <v/>
      </c>
      <c r="E133" s="122">
        <f>IF(E132&gt;0,IF(AND(E132&gt;0%,E132&lt;$H$169),$H$170,IF(AND(E132&gt;=$I$169,E132&lt;$J$169),$I$170,IF(AND(E132&gt;=$J$169,E132&lt;$K$169),$J$170,$K$170))),0)</f>
        <v/>
      </c>
      <c r="F133" s="122">
        <f>IF(F132&gt;0,IF(AND(F132&gt;0%,F132&lt;$H$169),$H$170,IF(AND(F132&gt;=$I$169,F132&lt;$J$169),$I$170,IF(AND(F132&gt;=$J$169,F132&lt;$K$169),$J$170,$K$170))),0)</f>
        <v/>
      </c>
      <c r="G133" s="122">
        <f>IF(G132&gt;0,IF(AND(G132&gt;0%,G132&lt;$H$169),$H$170,IF(AND(G132&gt;=$I$169,G132&lt;$J$169),$I$170,IF(AND(G132&gt;=$J$169,G132&lt;$K$169),$J$170,$K$170))),0)</f>
        <v/>
      </c>
      <c r="H133" s="122">
        <f>IF(H132&gt;0,IF(AND(H132&gt;0%,H132&lt;$H$169),$H$170,IF(AND(H132&gt;=$I$169,H132&lt;$J$169),$I$170,IF(AND(H132&gt;=$J$169,H132&lt;$K$169),$J$170,$K$170))),0)</f>
        <v/>
      </c>
      <c r="I133" s="122">
        <f>IF(I132&gt;0,IF(AND(I132&gt;0%,I132&lt;$H$169),$H$170,IF(AND(I132&gt;=$I$169,I132&lt;$J$169),$I$170,IF(AND(I132&gt;=$J$169,I132&lt;$K$169),$J$170,$K$170))),0)</f>
        <v/>
      </c>
      <c r="J133" s="122">
        <f>IF(J132&gt;0,IF(AND(J132&gt;0%,J132&lt;$H$169),$H$170,IF(AND(J132&gt;=$I$169,J132&lt;$J$169),$I$170,IF(AND(J132&gt;=$J$169,J132&lt;$K$169),$J$170,$K$170))),0)</f>
        <v/>
      </c>
      <c r="K133" s="122">
        <f>IF(K132&gt;0,IF(AND(K132&gt;0%,K132&lt;$H$169),$H$170,IF(AND(K132&gt;=$I$169,K132&lt;$J$169),$I$170,IF(AND(K132&gt;=$J$169,K132&lt;$K$169),$J$170,$K$170))),0)</f>
        <v/>
      </c>
      <c r="L133" s="122">
        <f>IF(L132&gt;0,IF(AND(L132&gt;0%,L132&lt;$H$169),$H$170,IF(AND(L132&gt;=$I$169,L132&lt;$J$169),$I$170,IF(AND(L132&gt;=$J$169,L132&lt;$K$169),$J$170,$K$170))),0)</f>
        <v/>
      </c>
      <c r="M133" s="122">
        <f>IF(M132&gt;0,IF(AND(M132&gt;0%,M132&lt;$H$169),$H$170,IF(AND(M132&gt;=$I$169,M132&lt;$J$169),$I$170,IF(AND(M132&gt;=$J$169,M132&lt;$K$169),$J$170,$K$170))),0)</f>
        <v/>
      </c>
      <c r="N133" s="122">
        <f>IF(N132&gt;0,IF(AND(N132&gt;0%,N132&lt;$H$169),$H$170,IF(AND(N132&gt;=$I$169,N132&lt;$J$169),$I$170,IF(AND(N132&gt;=$J$169,N132&lt;$K$169),$J$170,$K$170))),0)</f>
        <v/>
      </c>
      <c r="O133" s="122">
        <f>IF(O132&gt;0,IF(AND(O132&gt;0%,O132&lt;$H$169),$H$170,IF(AND(O132&gt;=$I$169,O132&lt;$J$169),$I$170,IF(AND(O132&gt;=$J$169,O132&lt;$K$169),$J$170,$K$170))),0)</f>
        <v/>
      </c>
      <c r="P133" s="122">
        <f>IF(P132&gt;0,IF(AND(P132&gt;0%,P132&lt;$H$169),$H$170,IF(AND(P132&gt;=$I$169,P132&lt;$J$169),$I$170,IF(AND(P132&gt;=$J$169,P132&lt;$K$169),$J$170,$K$170))),0)</f>
        <v/>
      </c>
      <c r="Q133" s="122">
        <f>IF(Q132&gt;0,IF(AND(Q132&gt;0%,Q132&lt;$H$169),$H$170,IF(AND(Q132&gt;=$I$169,Q132&lt;$J$169),$I$170,IF(AND(Q132&gt;=$J$169,Q132&lt;$K$169),$J$170,$K$170))),0)</f>
        <v/>
      </c>
      <c r="R133" s="122">
        <f>IF(R132&gt;0,IF(AND(R132&gt;0%,R132&lt;$H$169),$H$170,IF(AND(R132&gt;=$I$169,R132&lt;$J$169),$I$170,IF(AND(R132&gt;=$J$169,R132&lt;$K$169),$J$170,$K$170))),0)</f>
        <v/>
      </c>
      <c r="S133" s="122">
        <f>IF(S132&gt;0,IF(AND(S132&gt;0%,S132&lt;$H$169),$H$170,IF(AND(S132&gt;=$I$169,S132&lt;$J$169),$I$170,IF(AND(S132&gt;=$J$169,S132&lt;$K$169),$J$170,$K$170))),0)</f>
        <v/>
      </c>
      <c r="T133" s="122">
        <f>IF(T132&gt;0,IF(AND(T132&gt;0%,T132&lt;$H$169),$H$170,IF(AND(T132&gt;=$I$169,T132&lt;$J$169),$I$170,IF(AND(T132&gt;=$J$169,T132&lt;$K$169),$J$170,$K$170))),0)</f>
        <v/>
      </c>
      <c r="U133" s="122">
        <f>IF(U132&gt;0,IF(AND(U132&gt;0%,U132&lt;$H$169),$H$170,IF(AND(U132&gt;=$I$169,U132&lt;$J$169),$I$170,IF(AND(U132&gt;=$J$169,U132&lt;$K$169),$J$170,$K$170))),0)</f>
        <v/>
      </c>
      <c r="V133" s="122">
        <f>IF(V132&gt;0,IF(AND(V132&gt;0%,V132&lt;$H$169),$H$170,IF(AND(V132&gt;=$I$169,V132&lt;$J$169),$I$170,IF(AND(V132&gt;=$J$169,V132&lt;$K$169),$J$170,$K$170))),0)</f>
        <v/>
      </c>
      <c r="W133" s="122">
        <f>IF(W132&gt;0,IF(AND(W132&gt;0%,W132&lt;$H$169),$H$170,IF(AND(W132&gt;=$I$169,W132&lt;$J$169),$I$170,IF(AND(W132&gt;=$J$169,W132&lt;$K$169),$J$170,$K$170))),0)</f>
        <v/>
      </c>
      <c r="X133" s="122">
        <f>IF(X132&gt;0,IF(AND(X132&gt;0%,X132&lt;$H$169),$H$170,IF(AND(X132&gt;=$I$169,X132&lt;$J$169),$I$170,IF(AND(X132&gt;=$J$169,X132&lt;$K$169),$J$170,$K$170))),0)</f>
        <v/>
      </c>
      <c r="Y133" s="122">
        <f>IF(Y132&gt;0,IF(AND(Y132&gt;0%,Y132&lt;$H$169),$H$170,IF(AND(Y132&gt;=$I$169,Y132&lt;$J$169),$I$170,IF(AND(Y132&gt;=$J$169,Y132&lt;$K$169),$J$170,$K$170))),0)</f>
        <v/>
      </c>
      <c r="Z133" s="122">
        <f>IF(Z132&gt;0,IF(AND(Z132&gt;0%,Z132&lt;$H$169),$H$170,IF(AND(Z132&gt;=$I$169,Z132&lt;$J$169),$I$170,IF(AND(Z132&gt;=$J$169,Z132&lt;$K$169),$J$170,$K$170))),0)</f>
        <v/>
      </c>
      <c r="AA133" s="122">
        <f>IF(AA132&gt;0,IF(AND(AA132&gt;0%,AA132&lt;$H$169),$H$170,IF(AND(AA132&gt;=$I$169,AA132&lt;$J$169),$I$170,IF(AND(AA132&gt;=$J$169,AA132&lt;$K$169),$J$170,$K$170))),0)</f>
        <v/>
      </c>
      <c r="AB133" s="122">
        <f>IF(AB132&gt;0,IF(AND(AB132&gt;0%,AB132&lt;$H$169),$H$170,IF(AND(AB132&gt;=$I$169,AB132&lt;$J$169),$I$170,IF(AND(AB132&gt;=$J$169,AB132&lt;$K$169),$J$170,$K$170))),0)</f>
        <v/>
      </c>
      <c r="AC133" s="122">
        <f>IF(AC132&gt;0,IF(AND(AC132&gt;0%,AC132&lt;$H$169),$H$170,IF(AND(AC132&gt;=$I$169,AC132&lt;$J$169),$I$170,IF(AND(AC132&gt;=$J$169,AC132&lt;$K$169),$J$170,$K$170))),0)</f>
        <v/>
      </c>
      <c r="AD133" s="122">
        <f>IF(AD132&gt;0,IF(AND(AD132&gt;0%,AD132&lt;$H$169),$H$170,IF(AND(AD132&gt;=$I$169,AD132&lt;$J$169),$I$170,IF(AND(AD132&gt;=$J$169,AD132&lt;$K$169),$J$170,$K$170))),0)</f>
        <v/>
      </c>
      <c r="AE133" s="122">
        <f>IF(AE132&gt;0,IF(AND(AE132&gt;0%,AE132&lt;$H$169),$H$170,IF(AND(AE132&gt;=$I$169,AE132&lt;$J$169),$I$170,IF(AND(AE132&gt;=$J$169,AE132&lt;$K$169),$J$170,$K$170))),0)</f>
        <v/>
      </c>
      <c r="AF133" s="122">
        <f>IF(AF132&gt;0,IF(AND(AF132&gt;0%,AF132&lt;$H$169),$H$170,IF(AND(AF132&gt;=$I$169,AF132&lt;$J$169),$I$170,IF(AND(AF132&gt;=$J$169,AF132&lt;$K$169),$J$170,$K$170))),0)</f>
        <v/>
      </c>
      <c r="AG133" s="122">
        <f>IF(AG132&gt;0,IF(AND(AG132&gt;0%,AG132&lt;$H$169),$H$170,IF(AND(AG132&gt;=$I$169,AG132&lt;$J$169),$I$170,IF(AND(AG132&gt;=$J$169,AG132&lt;$K$169),$J$170,$K$170))),0)</f>
        <v/>
      </c>
      <c r="AH133" s="122">
        <f>IF(AH132&gt;0,IF(AND(AH132&gt;0%,AH132&lt;$H$169),$H$170,IF(AND(AH132&gt;=$I$169,AH132&lt;$J$169),$I$170,IF(AND(AH132&gt;=$J$169,AH132&lt;$K$169),$J$170,$K$170))),0)</f>
        <v/>
      </c>
      <c r="AI133" s="122">
        <f>IF(AI132&gt;0,IF(AND(AI132&gt;0%,AI132&lt;$H$169),$H$170,IF(AND(AI132&gt;=$I$169,AI132&lt;$J$169),$I$170,IF(AND(AI132&gt;=$J$169,AI132&lt;$K$169),$J$170,$K$170))),0)</f>
        <v/>
      </c>
      <c r="AJ133" s="122">
        <f>IF(AJ132&gt;0,IF(AND(AJ132&gt;0%,AJ132&lt;$H$169),$H$170,IF(AND(AJ132&gt;=$I$169,AJ132&lt;$J$169),$I$170,IF(AND(AJ132&gt;=$J$169,AJ132&lt;$K$169),$J$170,$K$170))),0)</f>
        <v/>
      </c>
      <c r="AK133" s="122">
        <f>IF(AK132&gt;0,IF(AND(AK132&gt;0%,AK132&lt;$H$169),$H$170,IF(AND(AK132&gt;=$I$169,AK132&lt;$J$169),$I$170,IF(AND(AK132&gt;=$J$169,AK132&lt;$K$169),$J$170,$K$170))),0)</f>
        <v/>
      </c>
      <c r="AP133" s="120" t="n">
        <v>0</v>
      </c>
      <c r="AQ133" s="120" t="n">
        <v>5</v>
      </c>
      <c r="AR133" s="120" t="n">
        <v>10</v>
      </c>
      <c r="AS133" s="120" t="n">
        <v>15</v>
      </c>
      <c r="AU133" s="210">
        <f>+COUNTIF($C133:$AJ133,AP133)</f>
        <v/>
      </c>
      <c r="AV133" s="210">
        <f>+COUNTIF($C133:$AJ133,AQ133)</f>
        <v/>
      </c>
      <c r="AW133" s="210">
        <f>+COUNTIF($C133:$AJ133,AR133)</f>
        <v/>
      </c>
      <c r="AX133" s="210">
        <f>+COUNTIF($C133:$AJ133,AS133)</f>
        <v/>
      </c>
      <c r="AY133" s="168">
        <f>+SUM(AU133:AX133)</f>
        <v/>
      </c>
    </row>
    <row r="134">
      <c r="A134" s="196" t="n"/>
      <c r="B134" s="266" t="inlineStr">
        <is>
          <t>Соф фойда (ўртача йиллик) / капитал</t>
        </is>
      </c>
      <c r="C134" s="201">
        <f>+C95/3*12/C76</f>
        <v/>
      </c>
      <c r="D134" s="201">
        <f>+D95/3*12/D76</f>
        <v/>
      </c>
      <c r="E134" s="201">
        <f>+E95/3*12/E76</f>
        <v/>
      </c>
      <c r="F134" s="201">
        <f>+F95/3*12/F76</f>
        <v/>
      </c>
      <c r="G134" s="201">
        <f>+G95/3*12/G76</f>
        <v/>
      </c>
      <c r="H134" s="201">
        <f>+H95/3*12/H76</f>
        <v/>
      </c>
      <c r="I134" s="201">
        <f>+I95/3*12/I76</f>
        <v/>
      </c>
      <c r="J134" s="201">
        <f>+J95/3*12/J76</f>
        <v/>
      </c>
      <c r="K134" s="201">
        <f>+K95/3*12/K76</f>
        <v/>
      </c>
      <c r="L134" s="201">
        <f>+L95/3*12/L76</f>
        <v/>
      </c>
      <c r="M134" s="201">
        <f>+M95/3*12/M76</f>
        <v/>
      </c>
      <c r="N134" s="201">
        <f>+N95/3*12/N76</f>
        <v/>
      </c>
      <c r="O134" s="201">
        <f>+O95/3*12/O76</f>
        <v/>
      </c>
      <c r="P134" s="201">
        <f>+P95/3*12/P76</f>
        <v/>
      </c>
      <c r="Q134" s="201">
        <f>+Q95/3*12/Q76</f>
        <v/>
      </c>
      <c r="R134" s="201">
        <f>+R95/3*12/R76</f>
        <v/>
      </c>
      <c r="S134" s="201">
        <f>+S95/3*12/S76</f>
        <v/>
      </c>
      <c r="T134" s="201">
        <f>+T95/3*12/T76</f>
        <v/>
      </c>
      <c r="U134" s="201">
        <f>+U95/3*12/U76</f>
        <v/>
      </c>
      <c r="V134" s="201">
        <f>+V95/3*12/V76</f>
        <v/>
      </c>
      <c r="W134" s="201">
        <f>+W95/3*12/W76</f>
        <v/>
      </c>
      <c r="X134" s="201">
        <f>+X95/3*12/X76</f>
        <v/>
      </c>
      <c r="Y134" s="201">
        <f>+Y95/3*12/Y76</f>
        <v/>
      </c>
      <c r="Z134" s="201">
        <f>+Z95/3*12/Z76</f>
        <v/>
      </c>
      <c r="AA134" s="201">
        <f>+AA95/3*12/AA76</f>
        <v/>
      </c>
      <c r="AB134" s="201">
        <f>+AB95/3*12/AB76</f>
        <v/>
      </c>
      <c r="AC134" s="201">
        <f>+AC95/3*12/AC76</f>
        <v/>
      </c>
      <c r="AD134" s="201">
        <f>+AD95/3*12/AD76</f>
        <v/>
      </c>
      <c r="AE134" s="201">
        <f>+AE95/3*12/AE76</f>
        <v/>
      </c>
      <c r="AF134" s="201">
        <f>+AF95/3*12/AF76</f>
        <v/>
      </c>
      <c r="AG134" s="201">
        <f>+AG95/3*12/AG76</f>
        <v/>
      </c>
      <c r="AH134" s="201">
        <f>+AH95/3*12/AH76</f>
        <v/>
      </c>
      <c r="AI134" s="201">
        <f>+AI95/3*12/AI76</f>
        <v/>
      </c>
      <c r="AJ134" s="202">
        <f>+AJ95/3*12/AJ76</f>
        <v/>
      </c>
      <c r="AK134" s="202">
        <f>+AK95/3*12/AK76</f>
        <v/>
      </c>
      <c r="AL134" s="203">
        <f>+AVERAGE(C134:AJ134)</f>
        <v/>
      </c>
      <c r="AM134" s="203">
        <f>+MAX(C134:AJ134)</f>
        <v/>
      </c>
      <c r="AN134" s="203">
        <f>+MIN(C134:AJ134)</f>
        <v/>
      </c>
      <c r="AP134" s="120" t="inlineStr">
        <is>
          <t>&lt;7%</t>
        </is>
      </c>
      <c r="AQ134" s="120" t="inlineStr">
        <is>
          <t>7%&lt;=…&lt;10%</t>
        </is>
      </c>
      <c r="AR134" s="120" t="inlineStr">
        <is>
          <t>10%&lt;=…&lt;15%</t>
        </is>
      </c>
      <c r="AS134" s="121" t="inlineStr">
        <is>
          <t>&gt;=15%</t>
        </is>
      </c>
    </row>
    <row r="135">
      <c r="A135" s="196" t="n"/>
      <c r="B135" s="294" t="n"/>
      <c r="C135" s="122">
        <f>IF(C134&gt;0,IF(AND(C134&gt;0%,C134&lt;$H$171),$H$172,IF(AND(C134&gt;=$I$171,C134&lt;$J$171),$I$172,IF(AND(C134&gt;=$J$171,C134&lt;$K$171),$J$172,$K$172))),0)</f>
        <v/>
      </c>
      <c r="D135" s="122">
        <f>IF(D134&gt;0,IF(AND(D134&gt;0%,D134&lt;$H$171),$H$172,IF(AND(D134&gt;=$I$171,D134&lt;$J$171),$I$172,IF(AND(D134&gt;=$J$171,D134&lt;$K$171),$J$172,$K$172))),0)</f>
        <v/>
      </c>
      <c r="E135" s="122">
        <f>IF(E134&gt;0,IF(AND(E134&gt;0%,E134&lt;$H$171),$H$172,IF(AND(E134&gt;=$I$171,E134&lt;$J$171),$I$172,IF(AND(E134&gt;=$J$171,E134&lt;$K$171),$J$172,$K$172))),0)</f>
        <v/>
      </c>
      <c r="F135" s="122">
        <f>IF(F134&gt;0,IF(AND(F134&gt;0%,F134&lt;$H$171),$H$172,IF(AND(F134&gt;=$I$171,F134&lt;$J$171),$I$172,IF(AND(F134&gt;=$J$171,F134&lt;$K$171),$J$172,$K$172))),0)</f>
        <v/>
      </c>
      <c r="G135" s="122">
        <f>IF(G134&gt;0,IF(AND(G134&gt;0%,G134&lt;$H$171),$H$172,IF(AND(G134&gt;=$I$171,G134&lt;$J$171),$I$172,IF(AND(G134&gt;=$J$171,G134&lt;$K$171),$J$172,$K$172))),0)</f>
        <v/>
      </c>
      <c r="H135" s="122">
        <f>IF(H134&gt;0,IF(AND(H134&gt;0%,H134&lt;$H$171),$H$172,IF(AND(H134&gt;=$I$171,H134&lt;$J$171),$I$172,IF(AND(H134&gt;=$J$171,H134&lt;$K$171),$J$172,$K$172))),0)</f>
        <v/>
      </c>
      <c r="I135" s="122">
        <f>IF(I134&gt;0,IF(AND(I134&gt;0%,I134&lt;$H$171),$H$172,IF(AND(I134&gt;=$I$171,I134&lt;$J$171),$I$172,IF(AND(I134&gt;=$J$171,I134&lt;$K$171),$J$172,$K$172))),0)</f>
        <v/>
      </c>
      <c r="J135" s="122">
        <f>IF(J134&gt;0,IF(AND(J134&gt;0%,J134&lt;$H$171),$H$172,IF(AND(J134&gt;=$I$171,J134&lt;$J$171),$I$172,IF(AND(J134&gt;=$J$171,J134&lt;$K$171),$J$172,$K$172))),0)</f>
        <v/>
      </c>
      <c r="K135" s="122">
        <f>IF(K134&gt;0,IF(AND(K134&gt;0%,K134&lt;$H$171),$H$172,IF(AND(K134&gt;=$I$171,K134&lt;$J$171),$I$172,IF(AND(K134&gt;=$J$171,K134&lt;$K$171),$J$172,$K$172))),0)</f>
        <v/>
      </c>
      <c r="L135" s="122">
        <f>IF(L134&gt;0,IF(AND(L134&gt;0%,L134&lt;$H$171),$H$172,IF(AND(L134&gt;=$I$171,L134&lt;$J$171),$I$172,IF(AND(L134&gt;=$J$171,L134&lt;$K$171),$J$172,$K$172))),0)</f>
        <v/>
      </c>
      <c r="M135" s="122">
        <f>IF(M134&gt;0,IF(AND(M134&gt;0%,M134&lt;$H$171),$H$172,IF(AND(M134&gt;=$I$171,M134&lt;$J$171),$I$172,IF(AND(M134&gt;=$J$171,M134&lt;$K$171),$J$172,$K$172))),0)</f>
        <v/>
      </c>
      <c r="N135" s="122">
        <f>IF(N134&gt;0,IF(AND(N134&gt;0%,N134&lt;$H$171),$H$172,IF(AND(N134&gt;=$I$171,N134&lt;$J$171),$I$172,IF(AND(N134&gt;=$J$171,N134&lt;$K$171),$J$172,$K$172))),0)</f>
        <v/>
      </c>
      <c r="O135" s="122">
        <f>IF(O134&gt;0,IF(AND(O134&gt;0%,O134&lt;$H$171),$H$172,IF(AND(O134&gt;=$I$171,O134&lt;$J$171),$I$172,IF(AND(O134&gt;=$J$171,O134&lt;$K$171),$J$172,$K$172))),0)</f>
        <v/>
      </c>
      <c r="P135" s="122">
        <f>IF(P134&gt;0,IF(AND(P134&gt;0%,P134&lt;$H$171),$H$172,IF(AND(P134&gt;=$I$171,P134&lt;$J$171),$I$172,IF(AND(P134&gt;=$J$171,P134&lt;$K$171),$J$172,$K$172))),0)</f>
        <v/>
      </c>
      <c r="Q135" s="122">
        <f>IF(Q134&gt;0,IF(AND(Q134&gt;0%,Q134&lt;$H$171),$H$172,IF(AND(Q134&gt;=$I$171,Q134&lt;$J$171),$I$172,IF(AND(Q134&gt;=$J$171,Q134&lt;$K$171),$J$172,$K$172))),0)</f>
        <v/>
      </c>
      <c r="R135" s="122">
        <f>IF(R134&gt;0,IF(AND(R134&gt;0%,R134&lt;$H$171),$H$172,IF(AND(R134&gt;=$I$171,R134&lt;$J$171),$I$172,IF(AND(R134&gt;=$J$171,R134&lt;$K$171),$J$172,$K$172))),0)</f>
        <v/>
      </c>
      <c r="S135" s="122">
        <f>IF(S134&gt;0,IF(AND(S134&gt;0%,S134&lt;$H$171),$H$172,IF(AND(S134&gt;=$I$171,S134&lt;$J$171),$I$172,IF(AND(S134&gt;=$J$171,S134&lt;$K$171),$J$172,$K$172))),0)</f>
        <v/>
      </c>
      <c r="T135" s="122">
        <f>IF(T134&gt;0,IF(AND(T134&gt;0%,T134&lt;$H$171),$H$172,IF(AND(T134&gt;=$I$171,T134&lt;$J$171),$I$172,IF(AND(T134&gt;=$J$171,T134&lt;$K$171),$J$172,$K$172))),0)</f>
        <v/>
      </c>
      <c r="U135" s="122">
        <f>IF(U134&gt;0,IF(AND(U134&gt;0%,U134&lt;$H$171),$H$172,IF(AND(U134&gt;=$I$171,U134&lt;$J$171),$I$172,IF(AND(U134&gt;=$J$171,U134&lt;$K$171),$J$172,$K$172))),0)</f>
        <v/>
      </c>
      <c r="V135" s="122">
        <f>IF(V134&gt;0,IF(AND(V134&gt;0%,V134&lt;$H$171),$H$172,IF(AND(V134&gt;=$I$171,V134&lt;$J$171),$I$172,IF(AND(V134&gt;=$J$171,V134&lt;$K$171),$J$172,$K$172))),0)</f>
        <v/>
      </c>
      <c r="W135" s="122">
        <f>IF(W134&gt;0,IF(AND(W134&gt;0%,W134&lt;$H$171),$H$172,IF(AND(W134&gt;=$I$171,W134&lt;$J$171),$I$172,IF(AND(W134&gt;=$J$171,W134&lt;$K$171),$J$172,$K$172))),0)</f>
        <v/>
      </c>
      <c r="X135" s="122">
        <f>IF(X134&gt;0,IF(AND(X134&gt;0%,X134&lt;$H$171),$H$172,IF(AND(X134&gt;=$I$171,X134&lt;$J$171),$I$172,IF(AND(X134&gt;=$J$171,X134&lt;$K$171),$J$172,$K$172))),0)</f>
        <v/>
      </c>
      <c r="Y135" s="122">
        <f>IF(Y134&gt;0,IF(AND(Y134&gt;0%,Y134&lt;$H$171),$H$172,IF(AND(Y134&gt;=$I$171,Y134&lt;$J$171),$I$172,IF(AND(Y134&gt;=$J$171,Y134&lt;$K$171),$J$172,$K$172))),0)</f>
        <v/>
      </c>
      <c r="Z135" s="122">
        <f>IF(Z134&gt;0,IF(AND(Z134&gt;0%,Z134&lt;$H$171),$H$172,IF(AND(Z134&gt;=$I$171,Z134&lt;$J$171),$I$172,IF(AND(Z134&gt;=$J$171,Z134&lt;$K$171),$J$172,$K$172))),0)</f>
        <v/>
      </c>
      <c r="AA135" s="122">
        <f>IF(AA134&gt;0,IF(AND(AA134&gt;0%,AA134&lt;$H$171),$H$172,IF(AND(AA134&gt;=$I$171,AA134&lt;$J$171),$I$172,IF(AND(AA134&gt;=$J$171,AA134&lt;$K$171),$J$172,$K$172))),0)</f>
        <v/>
      </c>
      <c r="AB135" s="122">
        <f>IF(AB134&gt;0,IF(AND(AB134&gt;0%,AB134&lt;$H$171),$H$172,IF(AND(AB134&gt;=$I$171,AB134&lt;$J$171),$I$172,IF(AND(AB134&gt;=$J$171,AB134&lt;$K$171),$J$172,$K$172))),0)</f>
        <v/>
      </c>
      <c r="AC135" s="122">
        <f>IF(AC134&gt;0,IF(AND(AC134&gt;0%,AC134&lt;$H$171),$H$172,IF(AND(AC134&gt;=$I$171,AC134&lt;$J$171),$I$172,IF(AND(AC134&gt;=$J$171,AC134&lt;$K$171),$J$172,$K$172))),0)</f>
        <v/>
      </c>
      <c r="AD135" s="122">
        <f>IF(AD134&gt;0,IF(AND(AD134&gt;0%,AD134&lt;$H$171),$H$172,IF(AND(AD134&gt;=$I$171,AD134&lt;$J$171),$I$172,IF(AND(AD134&gt;=$J$171,AD134&lt;$K$171),$J$172,$K$172))),0)</f>
        <v/>
      </c>
      <c r="AE135" s="122">
        <f>IF(AE134&gt;0,IF(AND(AE134&gt;0%,AE134&lt;$H$171),$H$172,IF(AND(AE134&gt;=$I$171,AE134&lt;$J$171),$I$172,IF(AND(AE134&gt;=$J$171,AE134&lt;$K$171),$J$172,$K$172))),0)</f>
        <v/>
      </c>
      <c r="AF135" s="122">
        <f>IF(AF134&gt;0,IF(AND(AF134&gt;0%,AF134&lt;$H$171),$H$172,IF(AND(AF134&gt;=$I$171,AF134&lt;$J$171),$I$172,IF(AND(AF134&gt;=$J$171,AF134&lt;$K$171),$J$172,$K$172))),0)</f>
        <v/>
      </c>
      <c r="AG135" s="122">
        <f>IF(AG134&gt;0,IF(AND(AG134&gt;0%,AG134&lt;$H$171),$H$172,IF(AND(AG134&gt;=$I$171,AG134&lt;$J$171),$I$172,IF(AND(AG134&gt;=$J$171,AG134&lt;$K$171),$J$172,$K$172))),0)</f>
        <v/>
      </c>
      <c r="AH135" s="122">
        <f>IF(AH134&gt;0,IF(AND(AH134&gt;0%,AH134&lt;$H$171),$H$172,IF(AND(AH134&gt;=$I$171,AH134&lt;$J$171),$I$172,IF(AND(AH134&gt;=$J$171,AH134&lt;$K$171),$J$172,$K$172))),0)</f>
        <v/>
      </c>
      <c r="AI135" s="122">
        <f>IF(AI134&gt;0,IF(AND(AI134&gt;0%,AI134&lt;$H$171),$H$172,IF(AND(AI134&gt;=$I$171,AI134&lt;$J$171),$I$172,IF(AND(AI134&gt;=$J$171,AI134&lt;$K$171),$J$172,$K$172))),0)</f>
        <v/>
      </c>
      <c r="AJ135" s="122">
        <f>IF(AJ134&gt;0,IF(AND(AJ134&gt;0%,AJ134&lt;$H$171),$H$172,IF(AND(AJ134&gt;=$I$171,AJ134&lt;$J$171),$I$172,IF(AND(AJ134&gt;=$J$171,AJ134&lt;$K$171),$J$172,$K$172))),0)</f>
        <v/>
      </c>
      <c r="AK135" s="122">
        <f>IF(AK134&gt;0,IF(AND(AK134&gt;0%,AK134&lt;$H$171),$H$172,IF(AND(AK134&gt;=$I$171,AK134&lt;$J$171),$I$172,IF(AND(AK134&gt;=$J$171,AK134&lt;$K$171),$J$172,$K$172))),0)</f>
        <v/>
      </c>
      <c r="AP135" s="120" t="n">
        <v>0</v>
      </c>
      <c r="AQ135" s="120" t="n">
        <v>5</v>
      </c>
      <c r="AR135" s="120" t="n">
        <v>10</v>
      </c>
      <c r="AS135" s="120" t="n">
        <v>15</v>
      </c>
      <c r="AU135" s="210">
        <f>+COUNTIF($C135:$AJ135,AP135)</f>
        <v/>
      </c>
      <c r="AV135" s="210">
        <f>+COUNTIF($C135:$AJ135,AQ135)</f>
        <v/>
      </c>
      <c r="AW135" s="210">
        <f>+COUNTIF($C135:$AJ135,AR135)</f>
        <v/>
      </c>
      <c r="AX135" s="210">
        <f>+COUNTIF($C135:$AJ135,AS135)</f>
        <v/>
      </c>
      <c r="AY135" s="168">
        <f>+SUM(AU135:AX135)</f>
        <v/>
      </c>
    </row>
    <row r="136">
      <c r="A136" s="196" t="n"/>
      <c r="B136" s="266" t="inlineStr">
        <is>
          <t>Харажатлар/даромадлар</t>
        </is>
      </c>
      <c r="C136" s="201">
        <f>+(C84+C86+C87+C88+C91+C92+C93)/(C83+C90)</f>
        <v/>
      </c>
      <c r="D136" s="201">
        <f>+(D84+D86+D87+D88+D91+D92+D93)/(D83+D90)</f>
        <v/>
      </c>
      <c r="E136" s="201">
        <f>+(E84+E86+E87+E88+E91+E92+E93)/(E83+E90)</f>
        <v/>
      </c>
      <c r="F136" s="201">
        <f>+(F84+F86+F87+F88+F91+F92+F93)/(F83+F90)</f>
        <v/>
      </c>
      <c r="G136" s="201">
        <f>+(G84+G86+G87+G88+G91+G92+G93)/(G83+G90)</f>
        <v/>
      </c>
      <c r="H136" s="201">
        <f>+(H84+H86+H87+H88+H91+H92+H93)/(H83+H90)</f>
        <v/>
      </c>
      <c r="I136" s="201">
        <f>+(I84+I86+I87+I88+I91+I92+I93)/(I83+I90)</f>
        <v/>
      </c>
      <c r="J136" s="201">
        <f>+(J84+J86+J87+J88+J91+J92+J93)/(J83+J90)</f>
        <v/>
      </c>
      <c r="K136" s="201">
        <f>+(K84+K86+K87+K88+K91+K92+K93)/(K83+K90)</f>
        <v/>
      </c>
      <c r="L136" s="201">
        <f>+(L84+L86+L87+L88+L91+L92+L93)/(L83+L90)</f>
        <v/>
      </c>
      <c r="M136" s="201">
        <f>+(M84+M86+M87+M88+M91+M92+M93)/(M83+M90)</f>
        <v/>
      </c>
      <c r="N136" s="201">
        <f>+(N84+N86+N87+N88+N91+N92+N93)/(N83+N90)</f>
        <v/>
      </c>
      <c r="O136" s="201">
        <f>+(O84+O86+O87+O88+O91+O92+O93)/(O83+O90)</f>
        <v/>
      </c>
      <c r="P136" s="201">
        <f>+(P84+P86+P87+P88+P91+P92+P93)/(P83+P90)</f>
        <v/>
      </c>
      <c r="Q136" s="201">
        <f>+(Q84+Q86+Q87+Q88+Q91+Q92+Q93)/(Q83+Q90)</f>
        <v/>
      </c>
      <c r="R136" s="201">
        <f>+(R84+R86+R87+R88+R91+R92+R93)/(R83+R90)</f>
        <v/>
      </c>
      <c r="S136" s="201">
        <f>+(S84+S86+S87+S88+S91+S92+S93)/(S83+S90)</f>
        <v/>
      </c>
      <c r="T136" s="201">
        <f>+(T84+T86+T87+T88+T91+T92+T93)/(T83+T90)</f>
        <v/>
      </c>
      <c r="U136" s="201">
        <f>+(U84+U86+U87+U88+U91+U92+U93)/(U83+U90)</f>
        <v/>
      </c>
      <c r="V136" s="201">
        <f>+(V84+V86+V87+V88+V91+V92+V93)/(V83+V90)</f>
        <v/>
      </c>
      <c r="W136" s="201">
        <f>+(W84+W86+W87+W88+W91+W92+W93)/(W83+W90)</f>
        <v/>
      </c>
      <c r="X136" s="201">
        <f>+(X84+X86+X87+X88+X91+X92+X93)/(X83+X90)</f>
        <v/>
      </c>
      <c r="Y136" s="201">
        <f>+(Y84+Y86+Y87+Y88+Y91+Y92+Y93)/(Y83+Y90)</f>
        <v/>
      </c>
      <c r="Z136" s="201">
        <f>+(Z84+Z86+Z87+Z88+Z91+Z92+Z93)/(Z83+Z90)</f>
        <v/>
      </c>
      <c r="AA136" s="201">
        <f>+(AA84+AA86+AA87+AA88+AA91+AA92+AA93)/(AA83+AA90)</f>
        <v/>
      </c>
      <c r="AB136" s="201">
        <f>+(AB84+AB86+AB87+AB88+AB91+AB92+AB93)/(AB83+AB90)</f>
        <v/>
      </c>
      <c r="AC136" s="201">
        <f>+(AC84+AC86+AC87+AC88+AC91+AC92+AC93)/(AC83+AC90)</f>
        <v/>
      </c>
      <c r="AD136" s="201">
        <f>+(AD84+AD86+AD87+AD88+AD91+AD92+AD93)/(AD83+AD90)</f>
        <v/>
      </c>
      <c r="AE136" s="201">
        <f>+(AE84+AE86+AE87+AE88+AE91+AE92+AE93)/(AE83+AE90)</f>
        <v/>
      </c>
      <c r="AF136" s="201">
        <f>+(AF84+AF86+AF87+AF88+AF91+AF92+AF93)/(AF83+AF90)</f>
        <v/>
      </c>
      <c r="AG136" s="201">
        <f>+(AG84+AG86+AG87+AG88+AG91+AG92+AG93)/(AG83+AG90)</f>
        <v/>
      </c>
      <c r="AH136" s="201">
        <f>+(AH84+AH86+AH87+AH88+AH91+AH92+AH93)/(AH83+AH90)</f>
        <v/>
      </c>
      <c r="AI136" s="201">
        <f>+(AI84+AI86+AI87+AI88+AI91+AI92+AI93)/(AI83+AI90)</f>
        <v/>
      </c>
      <c r="AJ136" s="202">
        <f>+(AJ84+AJ86+AJ87+AJ88+AJ91+AJ92+AJ93)/(AJ83+AJ90)</f>
        <v/>
      </c>
      <c r="AK136" s="202">
        <f>+(AK84+AK86+AK87+AK88+AK91+AK92+AK93)/(AK83+AK90)</f>
        <v/>
      </c>
      <c r="AL136" s="203">
        <f>+AVERAGE(C136:AJ136)</f>
        <v/>
      </c>
      <c r="AM136" s="203">
        <f>+MAX(C136:AJ136)</f>
        <v/>
      </c>
      <c r="AN136" s="203">
        <f>+MIN(C136:AJ136)</f>
        <v/>
      </c>
      <c r="AP136" s="120" t="inlineStr">
        <is>
          <t>&lt;70%</t>
        </is>
      </c>
      <c r="AQ136" s="120" t="inlineStr">
        <is>
          <t>70%&lt;=…&lt;80%</t>
        </is>
      </c>
      <c r="AR136" s="120" t="inlineStr">
        <is>
          <t>80%&lt;=…&lt;90%</t>
        </is>
      </c>
      <c r="AS136" s="121" t="inlineStr">
        <is>
          <t>&gt;=90%</t>
        </is>
      </c>
    </row>
    <row r="137" ht="15.75" customHeight="1" thickBot="1">
      <c r="A137" s="196" t="n"/>
      <c r="B137" s="294" t="n"/>
      <c r="C137" s="122">
        <f>IF(C136&gt;0,IF(AND(C136&gt;0%,C136&lt;$H$173),$H$174,IF(AND(C136&gt;=$I$173,C136&lt;$J$173),$I$174,IF(AND(C136&gt;=$J$173,C136&lt;$K$173),$J$174,$K$174))),0)</f>
        <v/>
      </c>
      <c r="D137" s="122">
        <f>IF(D136&gt;0,IF(AND(D136&gt;0%,D136&lt;$H$173),$H$174,IF(AND(D136&gt;=$I$173,D136&lt;$J$173),$I$174,IF(AND(D136&gt;=$J$173,D136&lt;$K$173),$J$174,$K$174))),0)</f>
        <v/>
      </c>
      <c r="E137" s="122">
        <f>IF(E136&gt;0,IF(AND(E136&gt;0%,E136&lt;$H$173),$H$174,IF(AND(E136&gt;=$I$173,E136&lt;$J$173),$I$174,IF(AND(E136&gt;=$J$173,E136&lt;$K$173),$J$174,$K$174))),0)</f>
        <v/>
      </c>
      <c r="F137" s="122">
        <f>IF(F136&gt;0,IF(AND(F136&gt;0%,F136&lt;$H$173),$H$174,IF(AND(F136&gt;=$I$173,F136&lt;$J$173),$I$174,IF(AND(F136&gt;=$J$173,F136&lt;$K$173),$J$174,$K$174))),0)</f>
        <v/>
      </c>
      <c r="G137" s="122">
        <f>IF(G136&gt;0,IF(AND(G136&gt;0%,G136&lt;$H$173),$H$174,IF(AND(G136&gt;=$I$173,G136&lt;$J$173),$I$174,IF(AND(G136&gt;=$J$173,G136&lt;$K$173),$J$174,$K$174))),0)</f>
        <v/>
      </c>
      <c r="H137" s="122">
        <f>IF(H136&gt;0,IF(AND(H136&gt;0%,H136&lt;$H$173),$H$174,IF(AND(H136&gt;=$I$173,H136&lt;$J$173),$I$174,IF(AND(H136&gt;=$J$173,H136&lt;$K$173),$J$174,$K$174))),0)</f>
        <v/>
      </c>
      <c r="I137" s="122">
        <f>IF(I136&gt;0,IF(AND(I136&gt;0%,I136&lt;$H$173),$H$174,IF(AND(I136&gt;=$I$173,I136&lt;$J$173),$I$174,IF(AND(I136&gt;=$J$173,I136&lt;$K$173),$J$174,$K$174))),0)</f>
        <v/>
      </c>
      <c r="J137" s="122">
        <f>IF(J136&gt;0,IF(AND(J136&gt;0%,J136&lt;$H$173),$H$174,IF(AND(J136&gt;=$I$173,J136&lt;$J$173),$I$174,IF(AND(J136&gt;=$J$173,J136&lt;$K$173),$J$174,$K$174))),0)</f>
        <v/>
      </c>
      <c r="K137" s="122">
        <f>IF(K136&gt;0,IF(AND(K136&gt;0%,K136&lt;$H$173),$H$174,IF(AND(K136&gt;=$I$173,K136&lt;$J$173),$I$174,IF(AND(K136&gt;=$J$173,K136&lt;$K$173),$J$174,$K$174))),0)</f>
        <v/>
      </c>
      <c r="L137" s="122">
        <f>IF(L136&gt;0,IF(AND(L136&gt;0%,L136&lt;$H$173),$H$174,IF(AND(L136&gt;=$I$173,L136&lt;$J$173),$I$174,IF(AND(L136&gt;=$J$173,L136&lt;$K$173),$J$174,$K$174))),0)</f>
        <v/>
      </c>
      <c r="M137" s="122">
        <f>IF(M136&gt;0,IF(AND(M136&gt;0%,M136&lt;$H$173),$H$174,IF(AND(M136&gt;=$I$173,M136&lt;$J$173),$I$174,IF(AND(M136&gt;=$J$173,M136&lt;$K$173),$J$174,$K$174))),0)</f>
        <v/>
      </c>
      <c r="N137" s="122">
        <f>IF(N136&gt;0,IF(AND(N136&gt;0%,N136&lt;$H$173),$H$174,IF(AND(N136&gt;=$I$173,N136&lt;$J$173),$I$174,IF(AND(N136&gt;=$J$173,N136&lt;$K$173),$J$174,$K$174))),0)</f>
        <v/>
      </c>
      <c r="O137" s="122">
        <f>IF(O136&gt;0,IF(AND(O136&gt;0%,O136&lt;$H$173),$H$174,IF(AND(O136&gt;=$I$173,O136&lt;$J$173),$I$174,IF(AND(O136&gt;=$J$173,O136&lt;$K$173),$J$174,$K$174))),0)</f>
        <v/>
      </c>
      <c r="P137" s="122">
        <f>IF(P136&gt;0,IF(AND(P136&gt;0%,P136&lt;$H$173),$H$174,IF(AND(P136&gt;=$I$173,P136&lt;$J$173),$I$174,IF(AND(P136&gt;=$J$173,P136&lt;$K$173),$J$174,$K$174))),0)</f>
        <v/>
      </c>
      <c r="Q137" s="122">
        <f>IF(Q136&gt;0,IF(AND(Q136&gt;0%,Q136&lt;$H$173),$H$174,IF(AND(Q136&gt;=$I$173,Q136&lt;$J$173),$I$174,IF(AND(Q136&gt;=$J$173,Q136&lt;$K$173),$J$174,$K$174))),0)</f>
        <v/>
      </c>
      <c r="R137" s="122">
        <f>IF(R136&gt;0,IF(AND(R136&gt;0%,R136&lt;$H$173),$H$174,IF(AND(R136&gt;=$I$173,R136&lt;$J$173),$I$174,IF(AND(R136&gt;=$J$173,R136&lt;$K$173),$J$174,$K$174))),0)</f>
        <v/>
      </c>
      <c r="S137" s="122">
        <f>IF(S136&gt;0,IF(AND(S136&gt;0%,S136&lt;$H$173),$H$174,IF(AND(S136&gt;=$I$173,S136&lt;$J$173),$I$174,IF(AND(S136&gt;=$J$173,S136&lt;$K$173),$J$174,$K$174))),0)</f>
        <v/>
      </c>
      <c r="T137" s="122">
        <f>IF(T136&gt;0,IF(AND(T136&gt;0%,T136&lt;$H$173),$H$174,IF(AND(T136&gt;=$I$173,T136&lt;$J$173),$I$174,IF(AND(T136&gt;=$J$173,T136&lt;$K$173),$J$174,$K$174))),0)</f>
        <v/>
      </c>
      <c r="U137" s="122">
        <f>IF(U136&gt;0,IF(AND(U136&gt;0%,U136&lt;$H$173),$H$174,IF(AND(U136&gt;=$I$173,U136&lt;$J$173),$I$174,IF(AND(U136&gt;=$J$173,U136&lt;$K$173),$J$174,$K$174))),0)</f>
        <v/>
      </c>
      <c r="V137" s="122">
        <f>IF(V136&gt;0,IF(AND(V136&gt;0%,V136&lt;$H$173),$H$174,IF(AND(V136&gt;=$I$173,V136&lt;$J$173),$I$174,IF(AND(V136&gt;=$J$173,V136&lt;$K$173),$J$174,$K$174))),0)</f>
        <v/>
      </c>
      <c r="W137" s="122">
        <f>IF(W136&gt;0,IF(AND(W136&gt;0%,W136&lt;$H$173),$H$174,IF(AND(W136&gt;=$I$173,W136&lt;$J$173),$I$174,IF(AND(W136&gt;=$J$173,W136&lt;$K$173),$J$174,$K$174))),0)</f>
        <v/>
      </c>
      <c r="X137" s="122">
        <f>IF(X136&gt;0,IF(AND(X136&gt;0%,X136&lt;$H$173),$H$174,IF(AND(X136&gt;=$I$173,X136&lt;$J$173),$I$174,IF(AND(X136&gt;=$J$173,X136&lt;$K$173),$J$174,$K$174))),0)</f>
        <v/>
      </c>
      <c r="Y137" s="122">
        <f>IF(Y136&gt;0,IF(AND(Y136&gt;0%,Y136&lt;$H$173),$H$174,IF(AND(Y136&gt;=$I$173,Y136&lt;$J$173),$I$174,IF(AND(Y136&gt;=$J$173,Y136&lt;$K$173),$J$174,$K$174))),0)</f>
        <v/>
      </c>
      <c r="Z137" s="122">
        <f>IF(Z136&gt;0,IF(AND(Z136&gt;0%,Z136&lt;$H$173),$H$174,IF(AND(Z136&gt;=$I$173,Z136&lt;$J$173),$I$174,IF(AND(Z136&gt;=$J$173,Z136&lt;$K$173),$J$174,$K$174))),0)</f>
        <v/>
      </c>
      <c r="AA137" s="122">
        <f>IF(AA136&gt;0,IF(AND(AA136&gt;0%,AA136&lt;$H$173),$H$174,IF(AND(AA136&gt;=$I$173,AA136&lt;$J$173),$I$174,IF(AND(AA136&gt;=$J$173,AA136&lt;$K$173),$J$174,$K$174))),0)</f>
        <v/>
      </c>
      <c r="AB137" s="122">
        <f>IF(AB136&gt;0,IF(AND(AB136&gt;0%,AB136&lt;$H$173),$H$174,IF(AND(AB136&gt;=$I$173,AB136&lt;$J$173),$I$174,IF(AND(AB136&gt;=$J$173,AB136&lt;$K$173),$J$174,$K$174))),0)</f>
        <v/>
      </c>
      <c r="AC137" s="122">
        <f>IF(AC136&gt;0,IF(AND(AC136&gt;0%,AC136&lt;$H$173),$H$174,IF(AND(AC136&gt;=$I$173,AC136&lt;$J$173),$I$174,IF(AND(AC136&gt;=$J$173,AC136&lt;$K$173),$J$174,$K$174))),0)</f>
        <v/>
      </c>
      <c r="AD137" s="122">
        <f>IF(AD136&gt;0,IF(AND(AD136&gt;0%,AD136&lt;$H$173),$H$174,IF(AND(AD136&gt;=$I$173,AD136&lt;$J$173),$I$174,IF(AND(AD136&gt;=$J$173,AD136&lt;$K$173),$J$174,$K$174))),0)</f>
        <v/>
      </c>
      <c r="AE137" s="122">
        <f>IF(AE136&gt;0,IF(AND(AE136&gt;0%,AE136&lt;$H$173),$H$174,IF(AND(AE136&gt;=$I$173,AE136&lt;$J$173),$I$174,IF(AND(AE136&gt;=$J$173,AE136&lt;$K$173),$J$174,$K$174))),0)</f>
        <v/>
      </c>
      <c r="AF137" s="122">
        <f>IF(AF136&gt;0,IF(AND(AF136&gt;0%,AF136&lt;$H$173),$H$174,IF(AND(AF136&gt;=$I$173,AF136&lt;$J$173),$I$174,IF(AND(AF136&gt;=$J$173,AF136&lt;$K$173),$J$174,$K$174))),0)</f>
        <v/>
      </c>
      <c r="AG137" s="122">
        <f>IF(AG136&gt;0,IF(AND(AG136&gt;0%,AG136&lt;$H$173),$H$174,IF(AND(AG136&gt;=$I$173,AG136&lt;$J$173),$I$174,IF(AND(AG136&gt;=$J$173,AG136&lt;$K$173),$J$174,$K$174))),0)</f>
        <v/>
      </c>
      <c r="AH137" s="122">
        <f>IF(AH136&gt;0,IF(AND(AH136&gt;0%,AH136&lt;$H$173),$H$174,IF(AND(AH136&gt;=$I$173,AH136&lt;$J$173),$I$174,IF(AND(AH136&gt;=$J$173,AH136&lt;$K$173),$J$174,$K$174))),0)</f>
        <v/>
      </c>
      <c r="AI137" s="122">
        <f>IF(AI136&gt;0,IF(AND(AI136&gt;0%,AI136&lt;$H$173),$H$174,IF(AND(AI136&gt;=$I$173,AI136&lt;$J$173),$I$174,IF(AND(AI136&gt;=$J$173,AI136&lt;$K$173),$J$174,$K$174))),0)</f>
        <v/>
      </c>
      <c r="AJ137" s="122">
        <f>IF(AJ136&gt;0,IF(AND(AJ136&gt;0%,AJ136&lt;$H$173),$H$174,IF(AND(AJ136&gt;=$I$173,AJ136&lt;$J$173),$I$174,IF(AND(AJ136&gt;=$J$173,AJ136&lt;$K$173),$J$174,$K$174))),0)</f>
        <v/>
      </c>
      <c r="AK137" s="122">
        <f>IF(AK136&gt;0,IF(AND(AK136&gt;0%,AK136&lt;$H$173),$H$174,IF(AND(AK136&gt;=$I$173,AK136&lt;$J$173),$I$174,IF(AND(AK136&gt;=$J$173,AK136&lt;$K$173),$J$174,$K$174))),0)</f>
        <v/>
      </c>
      <c r="AP137" s="120" t="n">
        <v>15</v>
      </c>
      <c r="AQ137" s="120" t="n">
        <v>10</v>
      </c>
      <c r="AR137" s="120" t="n">
        <v>5</v>
      </c>
      <c r="AS137" s="120" t="n">
        <v>0</v>
      </c>
      <c r="AU137" s="210">
        <f>+COUNTIF($C137:$AJ137,AP137)</f>
        <v/>
      </c>
      <c r="AV137" s="210">
        <f>+COUNTIF($C137:$AJ137,AQ137)</f>
        <v/>
      </c>
      <c r="AW137" s="210">
        <f>+COUNTIF($C137:$AJ137,AR137)</f>
        <v/>
      </c>
      <c r="AX137" s="210">
        <f>+COUNTIF($C137:$AJ137,AS137)</f>
        <v/>
      </c>
      <c r="AY137" s="168">
        <f>+SUM(AU137:AX137)</f>
        <v/>
      </c>
    </row>
    <row r="138" ht="15.75" customHeight="1" thickBot="1">
      <c r="A138" s="208" t="n"/>
      <c r="B138" s="126" t="inlineStr">
        <is>
          <t>Балл</t>
        </is>
      </c>
      <c r="C138" s="127">
        <f>+C110+C112+C114+C116+C119+C121+C123+C126+C128+C130+C133+C135+C137</f>
        <v/>
      </c>
      <c r="D138" s="127">
        <f>+D110+D112+D114+D116+D119+D121+D123+D126+D128+D130+D133+D135+D137</f>
        <v/>
      </c>
      <c r="E138" s="127">
        <f>+E110+E112+E114+E116+E119+E121+E123+E126+E128+E130+E133+E135+E137</f>
        <v/>
      </c>
      <c r="F138" s="127">
        <f>+F110+F112+F114+F116+F119+F121+F123+F126+F128+F130+F133+F135+F137</f>
        <v/>
      </c>
      <c r="G138" s="127">
        <f>+G110+G112+G114+G116+G119+G121+G123+G126+G128+G130+G133+G135+G137</f>
        <v/>
      </c>
      <c r="H138" s="127">
        <f>+H110+H112+H114+H116+H119+H121+H123+H126+H128+H130+H133+H135+H137</f>
        <v/>
      </c>
      <c r="I138" s="127">
        <f>+I110+I112+I114+I116+I119+I121+I123+I126+I128+I130+I133+I135+I137</f>
        <v/>
      </c>
      <c r="J138" s="127">
        <f>+J110+J112+J114+J116+J119+J121+J123+J126+J128+J130+J133+J135+J137</f>
        <v/>
      </c>
      <c r="K138" s="127">
        <f>+K110+K112+K114+K116+K119+K121+K123+K126+K128+K130+K133+K135+K137</f>
        <v/>
      </c>
      <c r="L138" s="127">
        <f>+L110+L112+L114+L116+L119+L121+L123+L126+L128+L130+L133+L135+L137</f>
        <v/>
      </c>
      <c r="M138" s="127">
        <f>+M110+M112+M114+M116+M119+M121+M123+M126+M128+M130+M133+M135+M137</f>
        <v/>
      </c>
      <c r="N138" s="127">
        <f>+N110+N112+N114+N116+N119+N121+N123+N126+N128+N130+N133+N135+N137</f>
        <v/>
      </c>
      <c r="O138" s="127">
        <f>+O110+O112+O114+O116+O119+O121+O123+O126+O128+O130+O133+O135+O137</f>
        <v/>
      </c>
      <c r="P138" s="127">
        <f>+P110+P112+P114+P116+P119+P121+P123+P126+P128+P130+P133+P135+P137</f>
        <v/>
      </c>
      <c r="Q138" s="127">
        <f>+Q110+Q112+Q114+Q116+Q119+Q121+Q123+Q126+Q128+Q130+Q133+Q135+Q137</f>
        <v/>
      </c>
      <c r="R138" s="127">
        <f>+R110+R112+R114+R116+R119+R121+R123+R126+R128+R130+R133+R135+R137</f>
        <v/>
      </c>
      <c r="S138" s="127">
        <f>+S110+S112+S114+S116+S119+S121+S123+S126+S128+S130+S133+S135+S137</f>
        <v/>
      </c>
      <c r="T138" s="127">
        <f>+T110+T112+T114+T116+T119+T121+T123+T126+T128+T130+T133+T135+T137</f>
        <v/>
      </c>
      <c r="U138" s="127">
        <f>+U110+U112+U114+U116+U119+U121+U123+U126+U128+U130+U133+U135+U137</f>
        <v/>
      </c>
      <c r="V138" s="127">
        <f>+V110+V112+V114+V116+V119+V121+V123+V126+V128+V130+V133+V135+V137</f>
        <v/>
      </c>
      <c r="W138" s="127">
        <f>+W110+W112+W114+W116+W119+W121+W123+W126+W128+W130+W133+W135+W137</f>
        <v/>
      </c>
      <c r="X138" s="127">
        <f>+X110+X112+X114+X116+X119+X121+X123+X126+X128+X130+X133+X135+X137</f>
        <v/>
      </c>
      <c r="Y138" s="127">
        <f>+Y110+Y112+Y114+Y116+Y119+Y121+Y123+Y126+Y128+Y130+Y133+Y135+Y137</f>
        <v/>
      </c>
      <c r="Z138" s="127">
        <f>+Z110+Z112+Z114+Z116+Z119+Z121+Z123+Z126+Z128+Z130+Z133+Z135+Z137</f>
        <v/>
      </c>
      <c r="AA138" s="127">
        <f>+AA110+AA112+AA114+AA116+AA119+AA121+AA123+AA126+AA128+AA130+AA133+AA135+AA137</f>
        <v/>
      </c>
      <c r="AB138" s="127">
        <f>+AB110+AB112+AB114+AB116+AB119+AB121+AB123+AB126+AB128+AB130+AB133+AB135+AB137</f>
        <v/>
      </c>
      <c r="AC138" s="127">
        <f>+AC110+AC112+AC114+AC116+AC119+AC121+AC123+AC126+AC128+AC130+AC133+AC135+AC137</f>
        <v/>
      </c>
      <c r="AD138" s="127">
        <f>+AD110+AD112+AD114+AD116+AD119+AD121+AD123+AD126+AD128+AD130+AD133+AD135+AD137</f>
        <v/>
      </c>
      <c r="AE138" s="127">
        <f>+AE110+AE112+AE114+AE116+AE119+AE121+AE123+AE126+AE128+AE130+AE133+AE135+AE137</f>
        <v/>
      </c>
      <c r="AF138" s="127">
        <f>+AF110+AF112+AF114+AF116+AF119+AF121+AF123+AF126+AF128+AF130+AF133+AF135+AF137</f>
        <v/>
      </c>
      <c r="AG138" s="127">
        <f>+AG110+AG112+AG114+AG116+AG119+AG121+AG123+AG126+AG128+AG130+AG133+AG135+AG137</f>
        <v/>
      </c>
      <c r="AH138" s="127">
        <f>+AH110+AH112+AH114+AH116+AH119+AH121+AH123+AH126+AH128+AH130+AH133+AH135+AH137</f>
        <v/>
      </c>
      <c r="AI138" s="127">
        <f>+AI110+AI112+AI114+AI116+AI119+AI121+AI123+AI126+AI128+AI130+AI133+AI135+AI137</f>
        <v/>
      </c>
      <c r="AJ138" s="128">
        <f>+AJ110+AJ112+AJ114+AJ116+AJ119+AJ121+AJ123+AJ126+AJ128+AJ130+AJ133+AJ135+AJ137</f>
        <v/>
      </c>
      <c r="AK138" s="128">
        <f>+AK110+AK112+AK114+AK116+AK119+AK121+AK123+AK126+AK128+AK130+AK133+AK135+AK137</f>
        <v/>
      </c>
      <c r="AL138" s="227">
        <f>+AVERAGE(C138:AJ138)</f>
        <v/>
      </c>
      <c r="AM138" s="227">
        <f>+MAX(C138:AJ138)</f>
        <v/>
      </c>
      <c r="AN138" s="227">
        <f>+MIN(C138:AJ138)</f>
        <v/>
      </c>
    </row>
    <row r="139" customFormat="1" s="210">
      <c r="A139" s="208" t="n"/>
      <c r="B139" s="129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  <c r="AA139" s="210" t="n"/>
      <c r="AB139" s="210" t="n"/>
      <c r="AC139" s="210" t="n"/>
      <c r="AD139" s="210" t="n"/>
      <c r="AE139" s="210" t="n"/>
      <c r="AF139" s="210" t="n"/>
      <c r="AG139" s="210" t="n"/>
      <c r="AH139" s="210" t="n"/>
      <c r="AI139" s="210" t="n"/>
      <c r="AJ139" s="210" t="n"/>
      <c r="AK139" s="210" t="n"/>
      <c r="AY139" s="168" t="n"/>
    </row>
    <row r="140" ht="15.75" customFormat="1" customHeight="1" s="210">
      <c r="A140" s="130" t="n">
        <v>0.2</v>
      </c>
      <c r="B140" s="131" t="inlineStr">
        <is>
          <t>Kapitalning 20%i</t>
        </is>
      </c>
      <c r="C140" s="211">
        <f>+$A$140*C76</f>
        <v/>
      </c>
      <c r="D140" s="211">
        <f>+$A$140*D76</f>
        <v/>
      </c>
      <c r="E140" s="211">
        <f>+$A$140*E76</f>
        <v/>
      </c>
      <c r="F140" s="211">
        <f>+$A$140*F76</f>
        <v/>
      </c>
      <c r="G140" s="211">
        <f>+$A$140*G76</f>
        <v/>
      </c>
      <c r="H140" s="211">
        <f>+$A$140*H76</f>
        <v/>
      </c>
      <c r="I140" s="211">
        <f>+$A$140*I76</f>
        <v/>
      </c>
      <c r="J140" s="211">
        <f>+$A$140*J76</f>
        <v/>
      </c>
      <c r="K140" s="211">
        <f>+$A$140*K76</f>
        <v/>
      </c>
      <c r="L140" s="211">
        <f>+$A$140*L76</f>
        <v/>
      </c>
      <c r="M140" s="211">
        <f>+$A$140*M76</f>
        <v/>
      </c>
      <c r="N140" s="211">
        <f>+$A$140*N76</f>
        <v/>
      </c>
      <c r="O140" s="211">
        <f>+$A$140*O76</f>
        <v/>
      </c>
      <c r="P140" s="211">
        <f>+$A$140*P76</f>
        <v/>
      </c>
      <c r="Q140" s="211">
        <f>+$A$140*Q76</f>
        <v/>
      </c>
      <c r="R140" s="211">
        <f>+$A$140*R76</f>
        <v/>
      </c>
      <c r="S140" s="211">
        <f>+$A$140*S76</f>
        <v/>
      </c>
      <c r="T140" s="211">
        <f>+$A$140*T76</f>
        <v/>
      </c>
      <c r="U140" s="211">
        <f>+$A$140*U76</f>
        <v/>
      </c>
      <c r="V140" s="211">
        <f>+$A$140*V76</f>
        <v/>
      </c>
      <c r="W140" s="211">
        <f>+$A$140*W76</f>
        <v/>
      </c>
      <c r="X140" s="211">
        <f>+$A$140*X76</f>
        <v/>
      </c>
      <c r="Y140" s="211">
        <f>+$A$140*Y76</f>
        <v/>
      </c>
      <c r="Z140" s="211">
        <f>+$A$140*Z76</f>
        <v/>
      </c>
      <c r="AA140" s="211">
        <f>+$A$140*AA76</f>
        <v/>
      </c>
      <c r="AB140" s="211">
        <f>+$A$140*AB76</f>
        <v/>
      </c>
      <c r="AC140" s="211">
        <f>+$A$140*AC76</f>
        <v/>
      </c>
      <c r="AD140" s="211">
        <f>+$A$140*AD76</f>
        <v/>
      </c>
      <c r="AE140" s="211">
        <f>+$A$140*AE76</f>
        <v/>
      </c>
      <c r="AF140" s="211">
        <f>+$A$140*AF76</f>
        <v/>
      </c>
      <c r="AG140" s="211">
        <f>+$A$140*AG76</f>
        <v/>
      </c>
      <c r="AH140" s="211">
        <f>+$A$140*AH76</f>
        <v/>
      </c>
      <c r="AI140" s="211">
        <f>+$A$140*AI76</f>
        <v/>
      </c>
      <c r="AJ140" s="211">
        <f>+$A$140*AJ76</f>
        <v/>
      </c>
      <c r="AK140" s="211">
        <f>+$A$140*AK76</f>
        <v/>
      </c>
      <c r="AY140" s="168" t="n"/>
    </row>
    <row r="141" ht="15.75" customFormat="1" customHeight="1" s="210">
      <c r="A141" s="208" t="n"/>
      <c r="B141" s="131">
        <f>+N146</f>
        <v/>
      </c>
      <c r="C141" s="212">
        <f>+IF(AND(C$138&gt;=$O$147,C$138&lt;=$P$147),$N$147,IF(AND(C$138&gt;=$O$148,C$138&lt;=$P$148),$N$148,IF(AND(C$138&gt;=$O$149,C$138&lt;=$P$149),$N$149,IF(AND(C$138&gt;=$O$150,C$138&lt;=$P$150),$N$150,IF(AND(C$138&gt;=$O$151,C$138&lt;=$P$151),$N$151,IF(AND(C$138&gt;=$O$152,C$138&lt;=$P$152),$N$152,0))))))</f>
        <v/>
      </c>
      <c r="D141" s="212">
        <f>+IF(AND(D$138&gt;=$O$147,D$138&lt;=$P$147),$N$147,IF(AND(D$138&gt;=$O$148,D$138&lt;=$P$148),$N$148,IF(AND(D$138&gt;=$O$149,D$138&lt;=$P$149),$N$149,IF(AND(D$138&gt;=$O$150,D$138&lt;=$P$150),$N$150,IF(AND(D$138&gt;=$O$151,D$138&lt;=$P$151),$N$151,IF(AND(D$138&gt;=$O$152,D$138&lt;=$P$152),$N$152,0))))))</f>
        <v/>
      </c>
      <c r="E141" s="212">
        <f>+IF(AND(E$138&gt;=$O$147,E$138&lt;=$P$147),$N$147,IF(AND(E$138&gt;=$O$148,E$138&lt;=$P$148),$N$148,IF(AND(E$138&gt;=$O$149,E$138&lt;=$P$149),$N$149,IF(AND(E$138&gt;=$O$150,E$138&lt;=$P$150),$N$150,IF(AND(E$138&gt;=$O$151,E$138&lt;=$P$151),$N$151,IF(AND(E$138&gt;=$O$152,E$138&lt;=$P$152),$N$152,0))))))</f>
        <v/>
      </c>
      <c r="F141" s="212">
        <f>+IF(AND(F$138&gt;=$O$147,F$138&lt;=$P$147),$N$147,IF(AND(F$138&gt;=$O$148,F$138&lt;=$P$148),$N$148,IF(AND(F$138&gt;=$O$149,F$138&lt;=$P$149),$N$149,IF(AND(F$138&gt;=$O$150,F$138&lt;=$P$150),$N$150,IF(AND(F$138&gt;=$O$151,F$138&lt;=$P$151),$N$151,IF(AND(F$138&gt;=$O$152,F$138&lt;=$P$152),$N$152,0))))))</f>
        <v/>
      </c>
      <c r="G141" s="212">
        <f>+IF(AND(G$138&gt;=$O$147,G$138&lt;=$P$147),$N$147,IF(AND(G$138&gt;=$O$148,G$138&lt;=$P$148),$N$148,IF(AND(G$138&gt;=$O$149,G$138&lt;=$P$149),$N$149,IF(AND(G$138&gt;=$O$150,G$138&lt;=$P$150),$N$150,IF(AND(G$138&gt;=$O$151,G$138&lt;=$P$151),$N$151,IF(AND(G$138&gt;=$O$152,G$138&lt;=$P$152),$N$152,0))))))</f>
        <v/>
      </c>
      <c r="H141" s="212">
        <f>+IF(AND(H$138&gt;=$O$147,H$138&lt;=$P$147),$N$147,IF(AND(H$138&gt;=$O$148,H$138&lt;=$P$148),$N$148,IF(AND(H$138&gt;=$O$149,H$138&lt;=$P$149),$N$149,IF(AND(H$138&gt;=$O$150,H$138&lt;=$P$150),$N$150,IF(AND(H$138&gt;=$O$151,H$138&lt;=$P$151),$N$151,IF(AND(H$138&gt;=$O$152,H$138&lt;=$P$152),$N$152,0))))))</f>
        <v/>
      </c>
      <c r="I141" s="212">
        <f>+IF(AND(I$138&gt;=$O$147,I$138&lt;=$P$147),$N$147,IF(AND(I$138&gt;=$O$148,I$138&lt;=$P$148),$N$148,IF(AND(I$138&gt;=$O$149,I$138&lt;=$P$149),$N$149,IF(AND(I$138&gt;=$O$150,I$138&lt;=$P$150),$N$150,IF(AND(I$138&gt;=$O$151,I$138&lt;=$P$151),$N$151,IF(AND(I$138&gt;=$O$152,I$138&lt;=$P$152),$N$152,0))))))</f>
        <v/>
      </c>
      <c r="J141" s="212">
        <f>+IF(AND(J$138&gt;=$O$147,J$138&lt;=$P$147),$N$147,IF(AND(J$138&gt;=$O$148,J$138&lt;=$P$148),$N$148,IF(AND(J$138&gt;=$O$149,J$138&lt;=$P$149),$N$149,IF(AND(J$138&gt;=$O$150,J$138&lt;=$P$150),$N$150,IF(AND(J$138&gt;=$O$151,J$138&lt;=$P$151),$N$151,IF(AND(J$138&gt;=$O$152,J$138&lt;=$P$152),$N$152,0))))))</f>
        <v/>
      </c>
      <c r="K141" s="212">
        <f>+IF(AND(K$138&gt;=$O$147,K$138&lt;=$P$147),$N$147,IF(AND(K$138&gt;=$O$148,K$138&lt;=$P$148),$N$148,IF(AND(K$138&gt;=$O$149,K$138&lt;=$P$149),$N$149,IF(AND(K$138&gt;=$O$150,K$138&lt;=$P$150),$N$150,IF(AND(K$138&gt;=$O$151,K$138&lt;=$P$151),$N$151,IF(AND(K$138&gt;=$O$152,K$138&lt;=$P$152),$N$152,0))))))</f>
        <v/>
      </c>
      <c r="L141" s="212">
        <f>+IF(AND(L$138&gt;=$O$147,L$138&lt;=$P$147),$N$147,IF(AND(L$138&gt;=$O$148,L$138&lt;=$P$148),$N$148,IF(AND(L$138&gt;=$O$149,L$138&lt;=$P$149),$N$149,IF(AND(L$138&gt;=$O$150,L$138&lt;=$P$150),$N$150,IF(AND(L$138&gt;=$O$151,L$138&lt;=$P$151),$N$151,IF(AND(L$138&gt;=$O$152,L$138&lt;=$P$152),$N$152,0))))))</f>
        <v/>
      </c>
      <c r="M141" s="212">
        <f>+IF(AND(M$138&gt;=$O$147,M$138&lt;=$P$147),$N$147,IF(AND(M$138&gt;=$O$148,M$138&lt;=$P$148),$N$148,IF(AND(M$138&gt;=$O$149,M$138&lt;=$P$149),$N$149,IF(AND(M$138&gt;=$O$150,M$138&lt;=$P$150),$N$150,IF(AND(M$138&gt;=$O$151,M$138&lt;=$P$151),$N$151,IF(AND(M$138&gt;=$O$152,M$138&lt;=$P$152),$N$152,0))))))</f>
        <v/>
      </c>
      <c r="N141" s="212">
        <f>+IF(AND(N$138&gt;=$O$147,N$138&lt;=$P$147),$N$147,IF(AND(N$138&gt;=$O$148,N$138&lt;=$P$148),$N$148,IF(AND(N$138&gt;=$O$149,N$138&lt;=$P$149),$N$149,IF(AND(N$138&gt;=$O$150,N$138&lt;=$P$150),$N$150,IF(AND(N$138&gt;=$O$151,N$138&lt;=$P$151),$N$151,IF(AND(N$138&gt;=$O$152,N$138&lt;=$P$152),$N$152,0))))))</f>
        <v/>
      </c>
      <c r="O141" s="212">
        <f>+IF(AND(O$138&gt;=$O$147,O$138&lt;=$P$147),$N$147,IF(AND(O$138&gt;=$O$148,O$138&lt;=$P$148),$N$148,IF(AND(O$138&gt;=$O$149,O$138&lt;=$P$149),$N$149,IF(AND(O$138&gt;=$O$150,O$138&lt;=$P$150),$N$150,IF(AND(O$138&gt;=$O$151,O$138&lt;=$P$151),$N$151,IF(AND(O$138&gt;=$O$152,O$138&lt;=$P$152),$N$152,0))))))</f>
        <v/>
      </c>
      <c r="P141" s="212">
        <f>+IF(AND(P$138&gt;=$O$147,P$138&lt;=$P$147),$N$147,IF(AND(P$138&gt;=$O$148,P$138&lt;=$P$148),$N$148,IF(AND(P$138&gt;=$O$149,P$138&lt;=$P$149),$N$149,IF(AND(P$138&gt;=$O$150,P$138&lt;=$P$150),$N$150,IF(AND(P$138&gt;=$O$151,P$138&lt;=$P$151),$N$151,IF(AND(P$138&gt;=$O$152,P$138&lt;=$P$152),$N$152,0))))))</f>
        <v/>
      </c>
      <c r="Q141" s="212">
        <f>+IF(AND(Q$138&gt;=$O$147,Q$138&lt;=$P$147),$N$147,IF(AND(Q$138&gt;=$O$148,Q$138&lt;=$P$148),$N$148,IF(AND(Q$138&gt;=$O$149,Q$138&lt;=$P$149),$N$149,IF(AND(Q$138&gt;=$O$150,Q$138&lt;=$P$150),$N$150,IF(AND(Q$138&gt;=$O$151,Q$138&lt;=$P$151),$N$151,IF(AND(Q$138&gt;=$O$152,Q$138&lt;=$P$152),$N$152,0))))))</f>
        <v/>
      </c>
      <c r="R141" s="212">
        <f>+IF(AND(R$138&gt;=$O$147,R$138&lt;=$P$147),$N$147,IF(AND(R$138&gt;=$O$148,R$138&lt;=$P$148),$N$148,IF(AND(R$138&gt;=$O$149,R$138&lt;=$P$149),$N$149,IF(AND(R$138&gt;=$O$150,R$138&lt;=$P$150),$N$150,IF(AND(R$138&gt;=$O$151,R$138&lt;=$P$151),$N$151,IF(AND(R$138&gt;=$O$152,R$138&lt;=$P$152),$N$152,0))))))</f>
        <v/>
      </c>
      <c r="S141" s="212">
        <f>+IF(AND(S$138&gt;=$O$147,S$138&lt;=$P$147),$N$147,IF(AND(S$138&gt;=$O$148,S$138&lt;=$P$148),$N$148,IF(AND(S$138&gt;=$O$149,S$138&lt;=$P$149),$N$149,IF(AND(S$138&gt;=$O$150,S$138&lt;=$P$150),$N$150,IF(AND(S$138&gt;=$O$151,S$138&lt;=$P$151),$N$151,IF(AND(S$138&gt;=$O$152,S$138&lt;=$P$152),$N$152,0))))))</f>
        <v/>
      </c>
      <c r="T141" s="212">
        <f>+IF(AND(T$138&gt;=$O$147,T$138&lt;=$P$147),$N$147,IF(AND(T$138&gt;=$O$148,T$138&lt;=$P$148),$N$148,IF(AND(T$138&gt;=$O$149,T$138&lt;=$P$149),$N$149,IF(AND(T$138&gt;=$O$150,T$138&lt;=$P$150),$N$150,IF(AND(T$138&gt;=$O$151,T$138&lt;=$P$151),$N$151,IF(AND(T$138&gt;=$O$152,T$138&lt;=$P$152),$N$152,0))))))</f>
        <v/>
      </c>
      <c r="U141" s="212">
        <f>+IF(AND(U$138&gt;=$O$147,U$138&lt;=$P$147),$N$147,IF(AND(U$138&gt;=$O$148,U$138&lt;=$P$148),$N$148,IF(AND(U$138&gt;=$O$149,U$138&lt;=$P$149),$N$149,IF(AND(U$138&gt;=$O$150,U$138&lt;=$P$150),$N$150,IF(AND(U$138&gt;=$O$151,U$138&lt;=$P$151),$N$151,IF(AND(U$138&gt;=$O$152,U$138&lt;=$P$152),$N$152,0))))))</f>
        <v/>
      </c>
      <c r="V141" s="212">
        <f>+IF(AND(V$138&gt;=$O$147,V$138&lt;=$P$147),$N$147,IF(AND(V$138&gt;=$O$148,V$138&lt;=$P$148),$N$148,IF(AND(V$138&gt;=$O$149,V$138&lt;=$P$149),$N$149,IF(AND(V$138&gt;=$O$150,V$138&lt;=$P$150),$N$150,IF(AND(V$138&gt;=$O$151,V$138&lt;=$P$151),$N$151,IF(AND(V$138&gt;=$O$152,V$138&lt;=$P$152),$N$152,0))))))</f>
        <v/>
      </c>
      <c r="W141" s="212">
        <f>+IF(AND(W$138&gt;=$O$147,W$138&lt;=$P$147),$N$147,IF(AND(W$138&gt;=$O$148,W$138&lt;=$P$148),$N$148,IF(AND(W$138&gt;=$O$149,W$138&lt;=$P$149),$N$149,IF(AND(W$138&gt;=$O$150,W$138&lt;=$P$150),$N$150,IF(AND(W$138&gt;=$O$151,W$138&lt;=$P$151),$N$151,IF(AND(W$138&gt;=$O$152,W$138&lt;=$P$152),$N$152,0))))))</f>
        <v/>
      </c>
      <c r="X141" s="212">
        <f>+IF(AND(X$138&gt;=$O$147,X$138&lt;=$P$147),$N$147,IF(AND(X$138&gt;=$O$148,X$138&lt;=$P$148),$N$148,IF(AND(X$138&gt;=$O$149,X$138&lt;=$P$149),$N$149,IF(AND(X$138&gt;=$O$150,X$138&lt;=$P$150),$N$150,IF(AND(X$138&gt;=$O$151,X$138&lt;=$P$151),$N$151,IF(AND(X$138&gt;=$O$152,X$138&lt;=$P$152),$N$152,0))))))</f>
        <v/>
      </c>
      <c r="Y141" s="212">
        <f>+IF(AND(Y$138&gt;=$O$147,Y$138&lt;=$P$147),$N$147,IF(AND(Y$138&gt;=$O$148,Y$138&lt;=$P$148),$N$148,IF(AND(Y$138&gt;=$O$149,Y$138&lt;=$P$149),$N$149,IF(AND(Y$138&gt;=$O$150,Y$138&lt;=$P$150),$N$150,IF(AND(Y$138&gt;=$O$151,Y$138&lt;=$P$151),$N$151,IF(AND(Y$138&gt;=$O$152,Y$138&lt;=$P$152),$N$152,0))))))</f>
        <v/>
      </c>
      <c r="Z141" s="212">
        <f>+IF(AND(Z$138&gt;=$O$147,Z$138&lt;=$P$147),$N$147,IF(AND(Z$138&gt;=$O$148,Z$138&lt;=$P$148),$N$148,IF(AND(Z$138&gt;=$O$149,Z$138&lt;=$P$149),$N$149,IF(AND(Z$138&gt;=$O$150,Z$138&lt;=$P$150),$N$150,IF(AND(Z$138&gt;=$O$151,Z$138&lt;=$P$151),$N$151,IF(AND(Z$138&gt;=$O$152,Z$138&lt;=$P$152),$N$152,0))))))</f>
        <v/>
      </c>
      <c r="AA141" s="212">
        <f>+IF(AND(AA$138&gt;=$O$147,AA$138&lt;=$P$147),$N$147,IF(AND(AA$138&gt;=$O$148,AA$138&lt;=$P$148),$N$148,IF(AND(AA$138&gt;=$O$149,AA$138&lt;=$P$149),$N$149,IF(AND(AA$138&gt;=$O$150,AA$138&lt;=$P$150),$N$150,IF(AND(AA$138&gt;=$O$151,AA$138&lt;=$P$151),$N$151,IF(AND(AA$138&gt;=$O$152,AA$138&lt;=$P$152),$N$152,0))))))</f>
        <v/>
      </c>
      <c r="AB141" s="212">
        <f>+IF(AND(AB$138&gt;=$O$147,AB$138&lt;=$P$147),$N$147,IF(AND(AB$138&gt;=$O$148,AB$138&lt;=$P$148),$N$148,IF(AND(AB$138&gt;=$O$149,AB$138&lt;=$P$149),$N$149,IF(AND(AB$138&gt;=$O$150,AB$138&lt;=$P$150),$N$150,IF(AND(AB$138&gt;=$O$151,AB$138&lt;=$P$151),$N$151,IF(AND(AB$138&gt;=$O$152,AB$138&lt;=$P$152),$N$152,0))))))</f>
        <v/>
      </c>
      <c r="AC141" s="212">
        <f>+IF(AND(AC$138&gt;=$O$147,AC$138&lt;=$P$147),$N$147,IF(AND(AC$138&gt;=$O$148,AC$138&lt;=$P$148),$N$148,IF(AND(AC$138&gt;=$O$149,AC$138&lt;=$P$149),$N$149,IF(AND(AC$138&gt;=$O$150,AC$138&lt;=$P$150),$N$150,IF(AND(AC$138&gt;=$O$151,AC$138&lt;=$P$151),$N$151,IF(AND(AC$138&gt;=$O$152,AC$138&lt;=$P$152),$N$152,0))))))</f>
        <v/>
      </c>
      <c r="AD141" s="212">
        <f>+IF(AND(AD$138&gt;=$O$147,AD$138&lt;=$P$147),$N$147,IF(AND(AD$138&gt;=$O$148,AD$138&lt;=$P$148),$N$148,IF(AND(AD$138&gt;=$O$149,AD$138&lt;=$P$149),$N$149,IF(AND(AD$138&gt;=$O$150,AD$138&lt;=$P$150),$N$150,IF(AND(AD$138&gt;=$O$151,AD$138&lt;=$P$151),$N$151,IF(AND(AD$138&gt;=$O$152,AD$138&lt;=$P$152),$N$152,0))))))</f>
        <v/>
      </c>
      <c r="AE141" s="212">
        <f>+IF(AND(AE$138&gt;=$O$147,AE$138&lt;=$P$147),$N$147,IF(AND(AE$138&gt;=$O$148,AE$138&lt;=$P$148),$N$148,IF(AND(AE$138&gt;=$O$149,AE$138&lt;=$P$149),$N$149,IF(AND(AE$138&gt;=$O$150,AE$138&lt;=$P$150),$N$150,IF(AND(AE$138&gt;=$O$151,AE$138&lt;=$P$151),$N$151,IF(AND(AE$138&gt;=$O$152,AE$138&lt;=$P$152),$N$152,0))))))</f>
        <v/>
      </c>
      <c r="AF141" s="212">
        <f>+IF(AND(AF$138&gt;=$O$147,AF$138&lt;=$P$147),$N$147,IF(AND(AF$138&gt;=$O$148,AF$138&lt;=$P$148),$N$148,IF(AND(AF$138&gt;=$O$149,AF$138&lt;=$P$149),$N$149,IF(AND(AF$138&gt;=$O$150,AF$138&lt;=$P$150),$N$150,IF(AND(AF$138&gt;=$O$151,AF$138&lt;=$P$151),$N$151,IF(AND(AF$138&gt;=$O$152,AF$138&lt;=$P$152),$N$152,0))))))</f>
        <v/>
      </c>
      <c r="AG141" s="212">
        <f>+IF(AND(AG$138&gt;=$O$147,AG$138&lt;=$P$147),$N$147,IF(AND(AG$138&gt;=$O$148,AG$138&lt;=$P$148),$N$148,IF(AND(AG$138&gt;=$O$149,AG$138&lt;=$P$149),$N$149,IF(AND(AG$138&gt;=$O$150,AG$138&lt;=$P$150),$N$150,IF(AND(AG$138&gt;=$O$151,AG$138&lt;=$P$151),$N$151,IF(AND(AG$138&gt;=$O$152,AG$138&lt;=$P$152),$N$152,0))))))</f>
        <v/>
      </c>
      <c r="AH141" s="212">
        <f>+IF(AND(AH$138&gt;=$O$147,AH$138&lt;=$P$147),$N$147,IF(AND(AH$138&gt;=$O$148,AH$138&lt;=$P$148),$N$148,IF(AND(AH$138&gt;=$O$149,AH$138&lt;=$P$149),$N$149,IF(AND(AH$138&gt;=$O$150,AH$138&lt;=$P$150),$N$150,IF(AND(AH$138&gt;=$O$151,AH$138&lt;=$P$151),$N$151,IF(AND(AH$138&gt;=$O$152,AH$138&lt;=$P$152),$N$152,0))))))</f>
        <v/>
      </c>
      <c r="AI141" s="212">
        <f>+IF(AND(AI$138&gt;=$O$147,AI$138&lt;=$P$147),$N$147,IF(AND(AI$138&gt;=$O$148,AI$138&lt;=$P$148),$N$148,IF(AND(AI$138&gt;=$O$149,AI$138&lt;=$P$149),$N$149,IF(AND(AI$138&gt;=$O$150,AI$138&lt;=$P$150),$N$150,IF(AND(AI$138&gt;=$O$151,AI$138&lt;=$P$151),$N$151,IF(AND(AI$138&gt;=$O$152,AI$138&lt;=$P$152),$N$152,0))))))</f>
        <v/>
      </c>
      <c r="AJ141" s="212">
        <f>+IF(AND(AJ$138&gt;=$O$147,AJ$138&lt;=$P$147),$N$147,IF(AND(AJ$138&gt;=$O$148,AJ$138&lt;=$P$148),$N$148,IF(AND(AJ$138&gt;=$O$149,AJ$138&lt;=$P$149),$N$149,IF(AND(AJ$138&gt;=$O$150,AJ$138&lt;=$P$150),$N$150,IF(AND(AJ$138&gt;=$O$151,AJ$138&lt;=$P$151),$N$151,IF(AND(AJ$138&gt;=$O$152,AJ$138&lt;=$P$152),$N$152,0))))))</f>
        <v/>
      </c>
      <c r="AK141" s="212">
        <f>+IF(AND(AK$138&gt;=$O$147,AK$138&lt;=$P$147),$N$147,IF(AND(AK$138&gt;=$O$148,AK$138&lt;=$P$148),$N$148,IF(AND(AK$138&gt;=$O$149,AK$138&lt;=$P$149),$N$149,IF(AND(AK$138&gt;=$O$150,AK$138&lt;=$P$150),$N$150,IF(AND(AK$138&gt;=$O$151,AK$138&lt;=$P$151),$N$151,IF(AND(AK$138&gt;=$O$152,AK$138&lt;=$P$152),$N$152,0))))))</f>
        <v/>
      </c>
      <c r="AY141" s="168" t="n"/>
    </row>
    <row r="142" ht="15.75" customFormat="1" customHeight="1" s="210" thickBot="1">
      <c r="A142" s="208" t="n"/>
      <c r="B142" s="259" t="inlineStr">
        <is>
          <t>Maks - I darajali kapitalning 25%i</t>
        </is>
      </c>
      <c r="C142" s="213">
        <f>+C141*C140</f>
        <v/>
      </c>
      <c r="D142" s="213">
        <f>+D141*D140</f>
        <v/>
      </c>
      <c r="E142" s="213">
        <f>+E141*E140</f>
        <v/>
      </c>
      <c r="F142" s="213">
        <f>+F141*F140</f>
        <v/>
      </c>
      <c r="G142" s="213">
        <f>+G141*G140</f>
        <v/>
      </c>
      <c r="H142" s="213">
        <f>+H141*H140</f>
        <v/>
      </c>
      <c r="I142" s="213">
        <f>+I141*I140</f>
        <v/>
      </c>
      <c r="J142" s="213">
        <f>+J141*J140</f>
        <v/>
      </c>
      <c r="K142" s="213">
        <f>+K141*K140</f>
        <v/>
      </c>
      <c r="L142" s="213">
        <f>+L141*L140</f>
        <v/>
      </c>
      <c r="M142" s="213">
        <f>+M141*M140</f>
        <v/>
      </c>
      <c r="N142" s="213">
        <f>+N141*N140</f>
        <v/>
      </c>
      <c r="O142" s="213">
        <f>+O141*O140</f>
        <v/>
      </c>
      <c r="P142" s="213">
        <f>+P141*P140</f>
        <v/>
      </c>
      <c r="Q142" s="213">
        <f>+Q141*Q140</f>
        <v/>
      </c>
      <c r="R142" s="213">
        <f>+R141*R140</f>
        <v/>
      </c>
      <c r="S142" s="213">
        <f>+S141*S140</f>
        <v/>
      </c>
      <c r="T142" s="213">
        <f>+T141*T140</f>
        <v/>
      </c>
      <c r="U142" s="213">
        <f>+U141*U140</f>
        <v/>
      </c>
      <c r="V142" s="213">
        <f>+V141*V140</f>
        <v/>
      </c>
      <c r="W142" s="213">
        <f>+W141*W140</f>
        <v/>
      </c>
      <c r="X142" s="213">
        <f>+X141*X140</f>
        <v/>
      </c>
      <c r="Y142" s="213">
        <f>+Y141*Y140</f>
        <v/>
      </c>
      <c r="Z142" s="213">
        <f>+Z141*Z140</f>
        <v/>
      </c>
      <c r="AA142" s="213">
        <f>+AA141*AA140</f>
        <v/>
      </c>
      <c r="AB142" s="213">
        <f>+AB141*AB140</f>
        <v/>
      </c>
      <c r="AC142" s="213">
        <f>+AC141*AC140</f>
        <v/>
      </c>
      <c r="AD142" s="213">
        <f>+AD141*AD140</f>
        <v/>
      </c>
      <c r="AE142" s="213">
        <f>+AE141*AE140</f>
        <v/>
      </c>
      <c r="AF142" s="213">
        <f>+AF141*AF140</f>
        <v/>
      </c>
      <c r="AG142" s="213">
        <f>+AG141*AG140</f>
        <v/>
      </c>
      <c r="AH142" s="213">
        <f>+AH141*AH140</f>
        <v/>
      </c>
      <c r="AI142" s="213">
        <f>+AI141*AI140</f>
        <v/>
      </c>
      <c r="AJ142" s="213">
        <f>+AJ141*AJ140</f>
        <v/>
      </c>
      <c r="AK142" s="213">
        <f>+AK141*AK140</f>
        <v/>
      </c>
      <c r="AY142" s="168" t="n"/>
    </row>
    <row r="143" ht="15.75" customFormat="1" customHeight="1" s="210" thickBot="1">
      <c r="A143" s="208" t="n"/>
      <c r="B143" s="261" t="n">
        <v>5555274424</v>
      </c>
      <c r="C143" s="227">
        <f>IF(C142&gt;($B$143*25%),($B$143*25%),C142)</f>
        <v/>
      </c>
      <c r="D143" s="227">
        <f>IF(D142&gt;($B$143*25%),($B$143*25%),D142)</f>
        <v/>
      </c>
      <c r="E143" s="227">
        <f>IF(E142&gt;($B$143*25%),($B$143*25%),E142)</f>
        <v/>
      </c>
      <c r="F143" s="227">
        <f>IF(F142&gt;($B$143*25%),($B$143*25%),F142)</f>
        <v/>
      </c>
      <c r="G143" s="227">
        <f>IF(G142&gt;($B$143*25%),($B$143*25%),G142)</f>
        <v/>
      </c>
      <c r="H143" s="227">
        <f>IF(H142&gt;($B$143*25%),($B$143*25%),H142)</f>
        <v/>
      </c>
      <c r="I143" s="227">
        <f>IF(I142&gt;($B$143*25%),($B$143*25%),I142)</f>
        <v/>
      </c>
      <c r="J143" s="227">
        <f>IF(J142&gt;($B$143*25%),($B$143*25%),J142)</f>
        <v/>
      </c>
      <c r="K143" s="227">
        <f>IF(K142&gt;($B$143*25%),($B$143*25%),K142)</f>
        <v/>
      </c>
      <c r="L143" s="227">
        <f>IF(L142&gt;($B$143*25%),($B$143*25%),L142)</f>
        <v/>
      </c>
      <c r="M143" s="227">
        <f>IF(M142&gt;($B$143*25%),($B$143*25%),M142)</f>
        <v/>
      </c>
      <c r="N143" s="227">
        <f>IF(N142&gt;($B$143*25%),($B$143*25%),N142)</f>
        <v/>
      </c>
      <c r="O143" s="227">
        <f>IF(O142&gt;($B$143*25%),($B$143*25%),O142)</f>
        <v/>
      </c>
      <c r="P143" s="227">
        <f>IF(P142&gt;($B$143*25%),($B$143*25%),P142)</f>
        <v/>
      </c>
      <c r="Q143" s="227">
        <f>IF(Q142&gt;($B$143*25%),($B$143*25%),Q142)</f>
        <v/>
      </c>
      <c r="R143" s="227">
        <f>IF(R142&gt;($B$143*25%),($B$143*25%),R142)</f>
        <v/>
      </c>
      <c r="S143" s="227">
        <f>IF(S142&gt;($B$143*25%),($B$143*25%),S142)</f>
        <v/>
      </c>
      <c r="T143" s="227">
        <f>IF(T142&gt;($B$143*25%),($B$143*25%),T142)</f>
        <v/>
      </c>
      <c r="U143" s="227">
        <f>IF(U142&gt;($B$143*25%),($B$143*25%),U142)</f>
        <v/>
      </c>
      <c r="V143" s="227">
        <f>IF(V142&gt;($B$143*25%),($B$143*25%),V142)</f>
        <v/>
      </c>
      <c r="W143" s="227">
        <f>IF(W142&gt;($B$143*25%),($B$143*25%),W142)</f>
        <v/>
      </c>
      <c r="X143" s="227">
        <f>IF(X142&gt;($B$143*25%),($B$143*25%),X142)</f>
        <v/>
      </c>
      <c r="Y143" s="227">
        <f>IF(Y142&gt;($B$143*25%),($B$143*25%),Y142)</f>
        <v/>
      </c>
      <c r="Z143" s="227">
        <f>IF(Z142&gt;($B$143*25%),($B$143*25%),Z142)</f>
        <v/>
      </c>
      <c r="AA143" s="227">
        <f>IF(AA142&gt;($B$143*25%),($B$143*25%),AA142)</f>
        <v/>
      </c>
      <c r="AB143" s="227">
        <f>IF(AB142&gt;($B$143*25%),($B$143*25%),AB142)</f>
        <v/>
      </c>
      <c r="AC143" s="227">
        <f>IF(AC142&gt;($B$143*25%),($B$143*25%),AC142)</f>
        <v/>
      </c>
      <c r="AD143" s="227">
        <f>IF(AD142&gt;($B$143*25%),($B$143*25%),AD142)</f>
        <v/>
      </c>
      <c r="AE143" s="227">
        <f>IF(AE142&gt;($B$143*25%),($B$143*25%),AE142)</f>
        <v/>
      </c>
      <c r="AF143" s="227">
        <f>IF(AF142&gt;($B$143*25%),($B$143*25%),AF142)</f>
        <v/>
      </c>
      <c r="AG143" s="227">
        <f>IF(AG142&gt;($B$143*25%),($B$143*25%),AG142)</f>
        <v/>
      </c>
      <c r="AH143" s="227">
        <f>IF(AH142&gt;($B$143*25%),($B$143*25%),AH142)</f>
        <v/>
      </c>
      <c r="AI143" s="227">
        <f>IF(AI142&gt;($B$143*25%),($B$143*25%),AI142)</f>
        <v/>
      </c>
      <c r="AJ143" s="227">
        <f>IF(AJ142&gt;($B$143*25%),($B$143*25%),AJ142)</f>
        <v/>
      </c>
      <c r="AK143" s="227">
        <f>IF(AK142&gt;($B$143*25%),($B$143*25%),AK142)</f>
        <v/>
      </c>
      <c r="AY143" s="168" t="n"/>
    </row>
    <row r="144" ht="15.75" customHeight="1" thickBot="1">
      <c r="B144" s="260">
        <f>+B143*25%</f>
        <v/>
      </c>
    </row>
    <row r="145">
      <c r="B145" s="22" t="inlineStr">
        <is>
          <t>Kapital etarliligi koʻrsatkichlari:</t>
        </is>
      </c>
      <c r="C145" s="133" t="n"/>
      <c r="D145" s="133" t="n"/>
      <c r="E145" s="133" t="n"/>
      <c r="F145" s="133" t="n"/>
      <c r="G145" s="133" t="n"/>
      <c r="H145" s="214" t="n"/>
      <c r="I145" s="214" t="n"/>
      <c r="J145" s="214" t="n"/>
      <c r="K145" s="215" t="n"/>
      <c r="L145" s="214" t="n"/>
      <c r="M145" s="214" t="n"/>
      <c r="N145" s="214" t="n"/>
      <c r="O145" s="214" t="n"/>
      <c r="P145" s="215" t="n"/>
    </row>
    <row r="146" ht="15.75" customHeight="1">
      <c r="B146" s="23" t="inlineStr">
        <is>
          <t>Regulyativ kapitalning monandlik koeffitsienti</t>
        </is>
      </c>
      <c r="C146" s="139" t="inlineStr">
        <is>
          <t>&lt;13%</t>
        </is>
      </c>
      <c r="D146" s="139" t="inlineStr">
        <is>
          <t>13%&lt;=…&lt;15%</t>
        </is>
      </c>
      <c r="E146" s="139" t="inlineStr">
        <is>
          <t>15%&lt;=…&lt;20%</t>
        </is>
      </c>
      <c r="F146" s="135" t="inlineStr">
        <is>
          <t>&gt;=20%</t>
        </is>
      </c>
      <c r="G146" s="135" t="n"/>
      <c r="H146" s="135" t="n">
        <v>0.13</v>
      </c>
      <c r="I146" s="135" t="n">
        <v>0.13</v>
      </c>
      <c r="J146" s="135" t="n">
        <v>0.15</v>
      </c>
      <c r="K146" s="136" t="n">
        <v>0.2</v>
      </c>
      <c r="L146" s="216" t="n"/>
      <c r="M146" s="137" t="inlineStr">
        <is>
          <t>Балл</t>
        </is>
      </c>
      <c r="N146" s="137" t="inlineStr">
        <is>
          <t>Фоиз</t>
        </is>
      </c>
      <c r="O146" s="216" t="n"/>
      <c r="P146" s="217" t="n"/>
    </row>
    <row r="147">
      <c r="B147" s="23" t="n"/>
      <c r="C147" s="139" t="n">
        <v>0</v>
      </c>
      <c r="D147" s="139" t="n">
        <v>5</v>
      </c>
      <c r="E147" s="139" t="n">
        <v>10</v>
      </c>
      <c r="F147" s="138" t="n">
        <v>15</v>
      </c>
      <c r="G147" s="135" t="n"/>
      <c r="H147" s="139">
        <f>+C147</f>
        <v/>
      </c>
      <c r="I147" s="139">
        <f>+D147</f>
        <v/>
      </c>
      <c r="J147" s="139">
        <f>+E147</f>
        <v/>
      </c>
      <c r="K147" s="141">
        <f>+F147</f>
        <v/>
      </c>
      <c r="L147" s="216" t="n"/>
      <c r="M147" s="218" t="inlineStr">
        <is>
          <t>181-195</t>
        </is>
      </c>
      <c r="N147" s="219" t="n">
        <v>1</v>
      </c>
      <c r="O147" s="139" t="n">
        <v>181</v>
      </c>
      <c r="P147" s="141" t="n">
        <v>195</v>
      </c>
    </row>
    <row r="148">
      <c r="B148" s="23" t="inlineStr">
        <is>
          <t>I darajali kapitalning monandlik koeffitsienti</t>
        </is>
      </c>
      <c r="C148" s="139" t="inlineStr">
        <is>
          <t>&lt;10%</t>
        </is>
      </c>
      <c r="D148" s="139" t="inlineStr">
        <is>
          <t>10%&lt;=…&lt;12%</t>
        </is>
      </c>
      <c r="E148" s="139" t="inlineStr">
        <is>
          <t>12%&lt;=…&lt;15%</t>
        </is>
      </c>
      <c r="F148" s="135" t="inlineStr">
        <is>
          <t>&gt;=15%</t>
        </is>
      </c>
      <c r="G148" s="135" t="n"/>
      <c r="H148" s="135" t="n">
        <v>0.1</v>
      </c>
      <c r="I148" s="135" t="n">
        <v>0.1</v>
      </c>
      <c r="J148" s="135" t="n">
        <v>0.12</v>
      </c>
      <c r="K148" s="136" t="n">
        <v>0.15</v>
      </c>
      <c r="L148" s="216" t="n"/>
      <c r="M148" s="218" t="inlineStr">
        <is>
          <t>151-180</t>
        </is>
      </c>
      <c r="N148" s="219" t="n">
        <v>0.8</v>
      </c>
      <c r="O148" s="139" t="n">
        <v>151</v>
      </c>
      <c r="P148" s="141" t="n">
        <v>180</v>
      </c>
    </row>
    <row r="149">
      <c r="B149" s="23" t="n"/>
      <c r="C149" s="139" t="n">
        <v>0</v>
      </c>
      <c r="D149" s="139" t="n">
        <v>5</v>
      </c>
      <c r="E149" s="139" t="n">
        <v>10</v>
      </c>
      <c r="F149" s="139" t="n">
        <v>15</v>
      </c>
      <c r="G149" s="139" t="n"/>
      <c r="H149" s="139">
        <f>+C149</f>
        <v/>
      </c>
      <c r="I149" s="139">
        <f>+D149</f>
        <v/>
      </c>
      <c r="J149" s="139">
        <f>+E149</f>
        <v/>
      </c>
      <c r="K149" s="141">
        <f>+F149</f>
        <v/>
      </c>
      <c r="L149" s="216" t="n"/>
      <c r="M149" s="218" t="inlineStr">
        <is>
          <t>121-150</t>
        </is>
      </c>
      <c r="N149" s="219" t="n">
        <v>0.6</v>
      </c>
      <c r="O149" s="139" t="n">
        <v>121</v>
      </c>
      <c r="P149" s="141" t="n">
        <v>150</v>
      </c>
    </row>
    <row r="150">
      <c r="B150" s="23" t="inlineStr">
        <is>
          <t>I darajali asosiy kapitalning monandlik koeffitsienti</t>
        </is>
      </c>
      <c r="C150" s="139" t="inlineStr">
        <is>
          <t>&lt;8%</t>
        </is>
      </c>
      <c r="D150" s="139" t="inlineStr">
        <is>
          <t>8%&lt;=…&lt;10%</t>
        </is>
      </c>
      <c r="E150" s="139" t="inlineStr">
        <is>
          <t>10%&lt;=…&lt;12%</t>
        </is>
      </c>
      <c r="F150" s="135" t="inlineStr">
        <is>
          <t>&gt;=12%</t>
        </is>
      </c>
      <c r="G150" s="135" t="n"/>
      <c r="H150" s="142" t="n">
        <v>0.08</v>
      </c>
      <c r="I150" s="142" t="n">
        <v>0.08</v>
      </c>
      <c r="J150" s="142" t="n">
        <v>0.1</v>
      </c>
      <c r="K150" s="143" t="n">
        <v>0.12</v>
      </c>
      <c r="L150" s="216" t="n"/>
      <c r="M150" s="218" t="inlineStr">
        <is>
          <t>91-120</t>
        </is>
      </c>
      <c r="N150" s="219" t="n">
        <v>0.4</v>
      </c>
      <c r="O150" s="139" t="n">
        <v>91</v>
      </c>
      <c r="P150" s="141" t="n">
        <v>120</v>
      </c>
    </row>
    <row r="151">
      <c r="B151" s="23" t="n"/>
      <c r="C151" s="139" t="n">
        <v>0</v>
      </c>
      <c r="D151" s="139" t="n">
        <v>5</v>
      </c>
      <c r="E151" s="139" t="n">
        <v>10</v>
      </c>
      <c r="F151" s="139" t="n">
        <v>15</v>
      </c>
      <c r="G151" s="139" t="n"/>
      <c r="H151" s="139">
        <f>+C151</f>
        <v/>
      </c>
      <c r="I151" s="139">
        <f>+D151</f>
        <v/>
      </c>
      <c r="J151" s="139">
        <f>+E151</f>
        <v/>
      </c>
      <c r="K151" s="141">
        <f>+F151</f>
        <v/>
      </c>
      <c r="L151" s="216" t="n"/>
      <c r="M151" s="218" t="inlineStr">
        <is>
          <t>61-90</t>
        </is>
      </c>
      <c r="N151" s="219" t="n">
        <v>0.2</v>
      </c>
      <c r="O151" s="139" t="n">
        <v>61</v>
      </c>
      <c r="P151" s="141" t="n">
        <v>90</v>
      </c>
    </row>
    <row r="152">
      <c r="B152" s="23" t="inlineStr">
        <is>
          <t>Leveraj</t>
        </is>
      </c>
      <c r="C152" s="139" t="inlineStr">
        <is>
          <t>&lt;6%</t>
        </is>
      </c>
      <c r="D152" s="139" t="inlineStr">
        <is>
          <t>6%&lt;=…&lt;8%</t>
        </is>
      </c>
      <c r="E152" s="139" t="inlineStr">
        <is>
          <t>8%&lt;=…&lt;10%</t>
        </is>
      </c>
      <c r="F152" s="135" t="inlineStr">
        <is>
          <t>&gt;=10%</t>
        </is>
      </c>
      <c r="G152" s="139" t="n"/>
      <c r="H152" s="142" t="n">
        <v>0.06</v>
      </c>
      <c r="I152" s="142" t="n">
        <v>0.06</v>
      </c>
      <c r="J152" s="142" t="n">
        <v>0.08</v>
      </c>
      <c r="K152" s="143" t="n">
        <v>0.1</v>
      </c>
      <c r="L152" s="216" t="n"/>
      <c r="M152" s="218" t="inlineStr">
        <is>
          <t>31-60</t>
        </is>
      </c>
      <c r="N152" s="219" t="n">
        <v>0.1</v>
      </c>
      <c r="O152" s="139" t="n">
        <v>31</v>
      </c>
      <c r="P152" s="141" t="n">
        <v>60</v>
      </c>
    </row>
    <row r="153" ht="15.75" customHeight="1" thickBot="1">
      <c r="B153" s="24" t="n"/>
      <c r="C153" s="144" t="n">
        <v>0</v>
      </c>
      <c r="D153" s="144" t="n">
        <v>5</v>
      </c>
      <c r="E153" s="144" t="n">
        <v>10</v>
      </c>
      <c r="F153" s="144" t="n">
        <v>15</v>
      </c>
      <c r="G153" s="144" t="n"/>
      <c r="H153" s="144">
        <f>+C153</f>
        <v/>
      </c>
      <c r="I153" s="144">
        <f>+D153</f>
        <v/>
      </c>
      <c r="J153" s="144">
        <f>+E153</f>
        <v/>
      </c>
      <c r="K153" s="145">
        <f>+F153</f>
        <v/>
      </c>
      <c r="L153" s="216" t="n"/>
      <c r="M153" s="218" t="inlineStr">
        <is>
          <t>&lt;30</t>
        </is>
      </c>
      <c r="N153" s="219" t="n">
        <v>0</v>
      </c>
      <c r="O153" s="139" t="n">
        <v>30</v>
      </c>
      <c r="P153" s="141" t="n"/>
    </row>
    <row r="154">
      <c r="B154" s="176" t="inlineStr">
        <is>
          <t>Likvidlik koʻrsatkichi</t>
        </is>
      </c>
      <c r="C154" s="139" t="n"/>
      <c r="D154" s="139" t="n"/>
      <c r="E154" s="139" t="n"/>
      <c r="F154" s="139" t="n"/>
      <c r="G154" s="139" t="n"/>
      <c r="H154" s="216" t="n"/>
      <c r="I154" s="216" t="n"/>
      <c r="J154" s="216" t="n"/>
      <c r="K154" s="217" t="n"/>
      <c r="L154" s="220" t="n"/>
      <c r="M154" s="221" t="n"/>
      <c r="N154" s="221" t="n"/>
      <c r="O154" s="221" t="n"/>
      <c r="P154" s="222" t="n"/>
    </row>
    <row r="155">
      <c r="B155" s="23" t="inlineStr">
        <is>
          <t>Yuqori likvidli aktivlarning jami aktivlardagi ulushi</t>
        </is>
      </c>
      <c r="C155" s="139" t="inlineStr">
        <is>
          <t>&lt;10%</t>
        </is>
      </c>
      <c r="D155" s="139" t="inlineStr">
        <is>
          <t>10%&lt;=…&lt;12%</t>
        </is>
      </c>
      <c r="E155" s="139" t="inlineStr">
        <is>
          <t>12%&lt;=…&lt;15%</t>
        </is>
      </c>
      <c r="F155" s="135" t="inlineStr">
        <is>
          <t>&gt;=15%</t>
        </is>
      </c>
      <c r="G155" s="139" t="n"/>
      <c r="H155" s="142" t="n">
        <v>0.1</v>
      </c>
      <c r="I155" s="142" t="n">
        <v>0.1</v>
      </c>
      <c r="J155" s="142" t="n">
        <v>0.12</v>
      </c>
      <c r="K155" s="143" t="n">
        <v>0.15</v>
      </c>
      <c r="L155" s="220" t="n"/>
      <c r="M155" s="221" t="n"/>
      <c r="N155" s="221" t="n"/>
      <c r="O155" s="221" t="n"/>
      <c r="P155" s="222" t="n"/>
    </row>
    <row r="156">
      <c r="B156" s="23" t="n"/>
      <c r="C156" s="139" t="n">
        <v>0</v>
      </c>
      <c r="D156" s="139" t="n">
        <v>5</v>
      </c>
      <c r="E156" s="139" t="n">
        <v>10</v>
      </c>
      <c r="F156" s="139" t="n">
        <v>15</v>
      </c>
      <c r="G156" s="139" t="n"/>
      <c r="H156" s="139">
        <f>+C156</f>
        <v/>
      </c>
      <c r="I156" s="139">
        <f>+D156</f>
        <v/>
      </c>
      <c r="J156" s="139">
        <f>+E156</f>
        <v/>
      </c>
      <c r="K156" s="141">
        <f>+F156</f>
        <v/>
      </c>
      <c r="L156" s="220" t="n"/>
      <c r="M156" s="216" t="n"/>
      <c r="N156" s="216" t="n"/>
      <c r="O156" s="216" t="n"/>
      <c r="P156" s="217" t="n"/>
    </row>
    <row r="157">
      <c r="B157" s="23" t="inlineStr">
        <is>
          <t>Likvidlikni qoplash me’yori</t>
        </is>
      </c>
      <c r="C157" s="139" t="inlineStr">
        <is>
          <t>&lt;100%</t>
        </is>
      </c>
      <c r="D157" s="139" t="inlineStr">
        <is>
          <t>100%&lt;=…&lt;120%</t>
        </is>
      </c>
      <c r="E157" s="139" t="inlineStr">
        <is>
          <t>120%&lt;=…&lt;150%</t>
        </is>
      </c>
      <c r="F157" s="135" t="inlineStr">
        <is>
          <t>&gt;=150%</t>
        </is>
      </c>
      <c r="G157" s="139" t="n"/>
      <c r="H157" s="142" t="n">
        <v>1</v>
      </c>
      <c r="I157" s="142" t="n">
        <v>1</v>
      </c>
      <c r="J157" s="142" t="n">
        <v>1.2</v>
      </c>
      <c r="K157" s="143" t="n">
        <v>1.5</v>
      </c>
      <c r="L157" s="220" t="n"/>
      <c r="M157" s="221" t="n"/>
      <c r="N157" s="221" t="n"/>
      <c r="O157" s="221" t="n"/>
      <c r="P157" s="222" t="n"/>
    </row>
    <row r="158">
      <c r="B158" s="23" t="n"/>
      <c r="C158" s="139" t="n">
        <v>0</v>
      </c>
      <c r="D158" s="139" t="n">
        <v>5</v>
      </c>
      <c r="E158" s="139" t="n">
        <v>10</v>
      </c>
      <c r="F158" s="139" t="n">
        <v>15</v>
      </c>
      <c r="G158" s="139" t="n"/>
      <c r="H158" s="139">
        <f>+C158</f>
        <v/>
      </c>
      <c r="I158" s="139">
        <f>+D158</f>
        <v/>
      </c>
      <c r="J158" s="139">
        <f>+E158</f>
        <v/>
      </c>
      <c r="K158" s="141">
        <f>+F158</f>
        <v/>
      </c>
      <c r="L158" s="220" t="n"/>
      <c r="M158" s="221" t="n"/>
      <c r="N158" s="221" t="n"/>
      <c r="O158" s="221" t="n"/>
      <c r="P158" s="222" t="n"/>
    </row>
    <row r="159">
      <c r="B159" s="23" t="inlineStr">
        <is>
          <t>Sof barqaror moliyalashtirish me’yori</t>
        </is>
      </c>
      <c r="C159" s="139" t="inlineStr">
        <is>
          <t>&lt;100%</t>
        </is>
      </c>
      <c r="D159" s="139" t="inlineStr">
        <is>
          <t>100%&lt;=…&lt;120%</t>
        </is>
      </c>
      <c r="E159" s="139" t="inlineStr">
        <is>
          <t>120%&lt;=…&lt;150%</t>
        </is>
      </c>
      <c r="F159" s="135" t="inlineStr">
        <is>
          <t>&gt;=150%</t>
        </is>
      </c>
      <c r="G159" s="139" t="n"/>
      <c r="H159" s="142" t="n">
        <v>1</v>
      </c>
      <c r="I159" s="142" t="n">
        <v>1</v>
      </c>
      <c r="J159" s="142" t="n">
        <v>1.2</v>
      </c>
      <c r="K159" s="143" t="n">
        <v>1.5</v>
      </c>
      <c r="L159" s="220" t="n"/>
      <c r="M159" s="221" t="n"/>
      <c r="N159" s="221" t="n"/>
      <c r="O159" s="221" t="n"/>
      <c r="P159" s="222" t="n"/>
    </row>
    <row r="160" ht="15.75" customHeight="1" thickBot="1">
      <c r="B160" s="24" t="n"/>
      <c r="C160" s="144" t="n">
        <v>0</v>
      </c>
      <c r="D160" s="144" t="n">
        <v>5</v>
      </c>
      <c r="E160" s="144" t="n">
        <v>10</v>
      </c>
      <c r="F160" s="144" t="n">
        <v>15</v>
      </c>
      <c r="G160" s="144" t="n"/>
      <c r="H160" s="144">
        <f>+C160</f>
        <v/>
      </c>
      <c r="I160" s="144">
        <f>+D160</f>
        <v/>
      </c>
      <c r="J160" s="144">
        <f>+E160</f>
        <v/>
      </c>
      <c r="K160" s="145">
        <f>+F160</f>
        <v/>
      </c>
      <c r="L160" s="220" t="n"/>
      <c r="M160" s="221" t="n"/>
      <c r="N160" s="221" t="n"/>
      <c r="O160" s="221" t="n"/>
      <c r="P160" s="222" t="n"/>
    </row>
    <row r="161">
      <c r="B161" s="22" t="inlineStr">
        <is>
          <t>Aktivlar</t>
        </is>
      </c>
      <c r="C161" s="133" t="n"/>
      <c r="D161" s="133" t="n"/>
      <c r="E161" s="133" t="n"/>
      <c r="F161" s="133" t="n"/>
      <c r="G161" s="133" t="n"/>
      <c r="H161" s="214" t="n"/>
      <c r="I161" s="214" t="n"/>
      <c r="J161" s="214" t="n"/>
      <c r="K161" s="215" t="n"/>
      <c r="L161" s="220" t="n"/>
      <c r="M161" s="221" t="n"/>
      <c r="N161" s="221" t="n"/>
      <c r="O161" s="221" t="n"/>
      <c r="P161" s="222" t="n"/>
    </row>
    <row r="162">
      <c r="B162" s="23" t="inlineStr">
        <is>
          <t>Foizli daromadlar / daromad keltiruvchi aktivlar</t>
        </is>
      </c>
      <c r="C162" s="139" t="inlineStr">
        <is>
          <t>&lt;2,5%</t>
        </is>
      </c>
      <c r="D162" s="139" t="inlineStr">
        <is>
          <t>2,5%&lt;=…&lt;5,0%</t>
        </is>
      </c>
      <c r="E162" s="139" t="inlineStr">
        <is>
          <t>5,0%&lt;=…&lt;7,5%</t>
        </is>
      </c>
      <c r="F162" s="135" t="inlineStr">
        <is>
          <t>&gt;=7,5%</t>
        </is>
      </c>
      <c r="G162" s="139" t="n"/>
      <c r="H162" s="146" t="n">
        <v>0.025</v>
      </c>
      <c r="I162" s="146" t="n">
        <v>0.025</v>
      </c>
      <c r="J162" s="146" t="n">
        <v>0.05</v>
      </c>
      <c r="K162" s="258" t="n">
        <v>0.075</v>
      </c>
      <c r="L162" s="220" t="n"/>
      <c r="M162" s="221" t="n"/>
      <c r="N162" s="221" t="n"/>
      <c r="O162" s="221" t="n"/>
      <c r="P162" s="222" t="n"/>
    </row>
    <row r="163">
      <c r="B163" s="23" t="n"/>
      <c r="C163" s="139" t="n">
        <v>0</v>
      </c>
      <c r="D163" s="139" t="n">
        <v>5</v>
      </c>
      <c r="E163" s="139" t="n">
        <v>10</v>
      </c>
      <c r="F163" s="139" t="n">
        <v>15</v>
      </c>
      <c r="G163" s="139" t="n"/>
      <c r="H163" s="139">
        <f>+C163</f>
        <v/>
      </c>
      <c r="I163" s="139">
        <f>+D163</f>
        <v/>
      </c>
      <c r="J163" s="139">
        <f>+E163</f>
        <v/>
      </c>
      <c r="K163" s="141">
        <f>+F163</f>
        <v/>
      </c>
      <c r="L163" s="220" t="n"/>
      <c r="M163" s="216" t="n"/>
      <c r="N163" s="216" t="n"/>
      <c r="O163" s="216" t="n"/>
      <c r="P163" s="217" t="n"/>
    </row>
    <row r="164">
      <c r="B164" s="23" t="inlineStr">
        <is>
          <t>Hisoblangan lekin undirilmagan foizlar / daromad keltiruvchi aktivlar</t>
        </is>
      </c>
      <c r="C164" s="139" t="inlineStr">
        <is>
          <t>&lt;1,5%</t>
        </is>
      </c>
      <c r="D164" s="139" t="inlineStr">
        <is>
          <t>1,5%&lt;=…&lt;3,0%</t>
        </is>
      </c>
      <c r="E164" s="139" t="inlineStr">
        <is>
          <t>3,0%&lt;=…&lt;5,0%</t>
        </is>
      </c>
      <c r="F164" s="135" t="inlineStr">
        <is>
          <t>&gt;=5,0%</t>
        </is>
      </c>
      <c r="G164" s="139" t="n"/>
      <c r="H164" s="146" t="n">
        <v>0.015</v>
      </c>
      <c r="I164" s="146" t="n">
        <v>0.015</v>
      </c>
      <c r="J164" s="142" t="n">
        <v>0.03</v>
      </c>
      <c r="K164" s="143" t="n">
        <v>0.05</v>
      </c>
      <c r="L164" s="220" t="n"/>
      <c r="M164" s="216" t="n"/>
      <c r="N164" s="216" t="n"/>
      <c r="O164" s="216" t="n"/>
      <c r="P164" s="217" t="n"/>
    </row>
    <row r="165">
      <c r="B165" s="23" t="n"/>
      <c r="C165" s="139" t="n">
        <v>15</v>
      </c>
      <c r="D165" s="139" t="n">
        <v>10</v>
      </c>
      <c r="E165" s="139" t="n">
        <v>5</v>
      </c>
      <c r="F165" s="139" t="n">
        <v>0</v>
      </c>
      <c r="G165" s="139" t="n"/>
      <c r="H165" s="139">
        <f>+C165</f>
        <v/>
      </c>
      <c r="I165" s="139">
        <f>+D165</f>
        <v/>
      </c>
      <c r="J165" s="139">
        <f>+E165</f>
        <v/>
      </c>
      <c r="K165" s="141">
        <f>+F165</f>
        <v/>
      </c>
      <c r="L165" s="220" t="n"/>
      <c r="M165" s="216" t="n"/>
      <c r="N165" s="216" t="n"/>
      <c r="O165" s="216" t="n"/>
      <c r="P165" s="217" t="n"/>
    </row>
    <row r="166">
      <c r="B166" s="23" t="inlineStr">
        <is>
          <t>Hisoblangan lekin undirilmagan foizlar / daromadlar</t>
        </is>
      </c>
      <c r="C166" s="139" t="inlineStr">
        <is>
          <t>&lt;20%</t>
        </is>
      </c>
      <c r="D166" s="139" t="inlineStr">
        <is>
          <t>20%&lt;=…&lt;30%</t>
        </is>
      </c>
      <c r="E166" s="139" t="inlineStr">
        <is>
          <t>30%&lt;=…&lt;40%</t>
        </is>
      </c>
      <c r="F166" s="135" t="inlineStr">
        <is>
          <t>&gt;=40%</t>
        </is>
      </c>
      <c r="G166" s="139" t="n"/>
      <c r="H166" s="142" t="n">
        <v>0.2</v>
      </c>
      <c r="I166" s="142" t="n">
        <v>0.2</v>
      </c>
      <c r="J166" s="142" t="n">
        <v>0.3</v>
      </c>
      <c r="K166" s="143" t="n">
        <v>0.4</v>
      </c>
      <c r="L166" s="220" t="n"/>
      <c r="M166" s="216" t="n"/>
      <c r="N166" s="216" t="n"/>
      <c r="O166" s="216" t="n"/>
      <c r="P166" s="217" t="n"/>
    </row>
    <row r="167" ht="15.75" customHeight="1" thickBot="1">
      <c r="B167" s="24" t="n"/>
      <c r="C167" s="144" t="n">
        <v>15</v>
      </c>
      <c r="D167" s="144" t="n">
        <v>10</v>
      </c>
      <c r="E167" s="144" t="n">
        <v>5</v>
      </c>
      <c r="F167" s="144" t="n">
        <v>0</v>
      </c>
      <c r="G167" s="144" t="n"/>
      <c r="H167" s="144">
        <f>+C167</f>
        <v/>
      </c>
      <c r="I167" s="144">
        <f>+D167</f>
        <v/>
      </c>
      <c r="J167" s="144">
        <f>+E167</f>
        <v/>
      </c>
      <c r="K167" s="145">
        <f>+F167</f>
        <v/>
      </c>
      <c r="L167" s="220" t="n"/>
      <c r="M167" s="216" t="n"/>
      <c r="N167" s="216" t="n"/>
      <c r="O167" s="216" t="n"/>
      <c r="P167" s="217" t="n"/>
    </row>
    <row r="168">
      <c r="B168" s="22" t="inlineStr">
        <is>
          <t>Rentabellik koʻrsatkichi</t>
        </is>
      </c>
      <c r="C168" s="133" t="n"/>
      <c r="D168" s="133" t="n"/>
      <c r="E168" s="133" t="n"/>
      <c r="F168" s="133" t="n"/>
      <c r="G168" s="133" t="n"/>
      <c r="H168" s="214" t="n"/>
      <c r="I168" s="214" t="n"/>
      <c r="J168" s="214" t="n"/>
      <c r="K168" s="215" t="n"/>
      <c r="L168" s="220" t="n"/>
      <c r="M168" s="216" t="n"/>
      <c r="N168" s="216" t="n"/>
      <c r="O168" s="216" t="n"/>
      <c r="P168" s="217" t="n"/>
    </row>
    <row r="169">
      <c r="B169" s="23" t="inlineStr">
        <is>
          <t>Sof foyda / jami aktivlar</t>
        </is>
      </c>
      <c r="C169" s="139" t="inlineStr">
        <is>
          <t>&lt;1%</t>
        </is>
      </c>
      <c r="D169" s="139" t="inlineStr">
        <is>
          <t>1%&lt;=…&lt;2%</t>
        </is>
      </c>
      <c r="E169" s="139" t="inlineStr">
        <is>
          <t>2%&lt;=…&lt;3%</t>
        </is>
      </c>
      <c r="F169" s="135" t="inlineStr">
        <is>
          <t>&gt;=3%</t>
        </is>
      </c>
      <c r="G169" s="139" t="n"/>
      <c r="H169" s="142" t="n">
        <v>0.01</v>
      </c>
      <c r="I169" s="142" t="n">
        <v>0.01</v>
      </c>
      <c r="J169" s="142" t="n">
        <v>0.02</v>
      </c>
      <c r="K169" s="143" t="n">
        <v>0.03</v>
      </c>
      <c r="L169" s="220" t="n"/>
      <c r="M169" s="216" t="n"/>
      <c r="N169" s="216" t="n"/>
      <c r="O169" s="216" t="n"/>
      <c r="P169" s="217" t="n"/>
    </row>
    <row r="170">
      <c r="B170" s="23" t="n"/>
      <c r="C170" s="139" t="n">
        <v>0</v>
      </c>
      <c r="D170" s="139" t="n">
        <v>5</v>
      </c>
      <c r="E170" s="139" t="n">
        <v>10</v>
      </c>
      <c r="F170" s="139" t="n">
        <v>15</v>
      </c>
      <c r="G170" s="139" t="n"/>
      <c r="H170" s="139">
        <f>+C170</f>
        <v/>
      </c>
      <c r="I170" s="139">
        <f>+D170</f>
        <v/>
      </c>
      <c r="J170" s="139">
        <f>+E170</f>
        <v/>
      </c>
      <c r="K170" s="141">
        <f>+F170</f>
        <v/>
      </c>
      <c r="L170" s="220" t="n"/>
      <c r="M170" s="216" t="n"/>
      <c r="N170" s="216" t="n"/>
      <c r="O170" s="216" t="n"/>
      <c r="P170" s="217" t="n"/>
    </row>
    <row r="171">
      <c r="B171" s="23" t="inlineStr">
        <is>
          <t>Sof foyda / kapital</t>
        </is>
      </c>
      <c r="C171" s="139" t="inlineStr">
        <is>
          <t>&lt;5%</t>
        </is>
      </c>
      <c r="D171" s="139" t="inlineStr">
        <is>
          <t>5%&lt;=…&lt;10%</t>
        </is>
      </c>
      <c r="E171" s="139" t="inlineStr">
        <is>
          <t>10%&lt;=…&lt;15%</t>
        </is>
      </c>
      <c r="F171" s="135" t="inlineStr">
        <is>
          <t>&gt;=15%</t>
        </is>
      </c>
      <c r="G171" s="139" t="n"/>
      <c r="H171" s="142" t="n">
        <v>0.05</v>
      </c>
      <c r="I171" s="142" t="n">
        <v>0.05</v>
      </c>
      <c r="J171" s="142" t="n">
        <v>0.1</v>
      </c>
      <c r="K171" s="143" t="n">
        <v>0.15</v>
      </c>
      <c r="L171" s="220" t="n"/>
      <c r="M171" s="216" t="n"/>
      <c r="N171" s="216" t="n"/>
      <c r="O171" s="216" t="n"/>
      <c r="P171" s="217" t="n"/>
    </row>
    <row r="172">
      <c r="B172" s="23" t="n"/>
      <c r="C172" s="139" t="n">
        <v>0</v>
      </c>
      <c r="D172" s="139" t="n">
        <v>5</v>
      </c>
      <c r="E172" s="139" t="n">
        <v>10</v>
      </c>
      <c r="F172" s="139" t="n">
        <v>15</v>
      </c>
      <c r="G172" s="139" t="n"/>
      <c r="H172" s="139">
        <f>+C172</f>
        <v/>
      </c>
      <c r="I172" s="139">
        <f>+D172</f>
        <v/>
      </c>
      <c r="J172" s="139">
        <f>+E172</f>
        <v/>
      </c>
      <c r="K172" s="141">
        <f>+F172</f>
        <v/>
      </c>
      <c r="L172" s="220" t="n"/>
      <c r="M172" s="216" t="n"/>
      <c r="N172" s="216" t="n"/>
      <c r="O172" s="216" t="n"/>
      <c r="P172" s="217" t="n"/>
    </row>
    <row r="173">
      <c r="B173" s="23" t="inlineStr">
        <is>
          <t>Xarajatlar / daromadlar</t>
        </is>
      </c>
      <c r="C173" s="139" t="inlineStr">
        <is>
          <t>&lt;70%</t>
        </is>
      </c>
      <c r="D173" s="139" t="inlineStr">
        <is>
          <t>70%&lt;=…&lt;80%</t>
        </is>
      </c>
      <c r="E173" s="139" t="inlineStr">
        <is>
          <t>80%&lt;=…&lt;90%</t>
        </is>
      </c>
      <c r="F173" s="135" t="inlineStr">
        <is>
          <t>&gt;=90%</t>
        </is>
      </c>
      <c r="G173" s="139" t="n"/>
      <c r="H173" s="142" t="n">
        <v>0.7</v>
      </c>
      <c r="I173" s="142" t="n">
        <v>0.7</v>
      </c>
      <c r="J173" s="142" t="n">
        <v>0.8</v>
      </c>
      <c r="K173" s="143" t="n">
        <v>0.9</v>
      </c>
      <c r="L173" s="220" t="n"/>
      <c r="M173" s="216" t="n"/>
      <c r="N173" s="216" t="n"/>
      <c r="O173" s="216" t="n"/>
      <c r="P173" s="217" t="n"/>
    </row>
    <row r="174" ht="15.75" customHeight="1" thickBot="1">
      <c r="B174" s="24" t="n"/>
      <c r="C174" s="144" t="n">
        <v>15</v>
      </c>
      <c r="D174" s="144" t="n">
        <v>10</v>
      </c>
      <c r="E174" s="144" t="n">
        <v>5</v>
      </c>
      <c r="F174" s="144" t="n">
        <v>0</v>
      </c>
      <c r="G174" s="144" t="n"/>
      <c r="H174" s="144">
        <f>+C174</f>
        <v/>
      </c>
      <c r="I174" s="144">
        <f>+D174</f>
        <v/>
      </c>
      <c r="J174" s="144">
        <f>+E174</f>
        <v/>
      </c>
      <c r="K174" s="145">
        <f>+F174</f>
        <v/>
      </c>
      <c r="L174" s="223" t="n"/>
      <c r="M174" s="224" t="n"/>
      <c r="N174" s="224" t="n"/>
      <c r="O174" s="224" t="n"/>
      <c r="P174" s="225" t="n"/>
    </row>
    <row r="178" ht="15.75" customHeight="1">
      <c r="B178" s="264" t="inlineStr">
        <is>
          <t>Kapital etarliligi koʻrsatkichlari:</t>
        </is>
      </c>
      <c r="C178" s="297" t="n"/>
      <c r="D178" s="297" t="n"/>
      <c r="E178" s="297" t="n"/>
      <c r="F178" s="298" t="n"/>
    </row>
    <row r="179">
      <c r="B179" s="229" t="inlineStr">
        <is>
          <t>Regulyativ kapitalning monandlik koeffitsienti</t>
        </is>
      </c>
      <c r="C179" s="228" t="inlineStr">
        <is>
          <t>&lt;13%</t>
        </is>
      </c>
      <c r="D179" s="228" t="inlineStr">
        <is>
          <t>13%&lt;=…&lt;15%</t>
        </is>
      </c>
      <c r="E179" s="228" t="inlineStr">
        <is>
          <t>15%&lt;=…&lt;20%</t>
        </is>
      </c>
      <c r="F179" s="230" t="inlineStr">
        <is>
          <t>&gt;=20%</t>
        </is>
      </c>
    </row>
    <row r="180">
      <c r="B180" s="229" t="inlineStr">
        <is>
          <t>Ball</t>
        </is>
      </c>
      <c r="C180" s="228" t="n">
        <v>0</v>
      </c>
      <c r="D180" s="228" t="n">
        <v>5</v>
      </c>
      <c r="E180" s="228" t="n">
        <v>10</v>
      </c>
      <c r="F180" s="231" t="n">
        <v>15</v>
      </c>
    </row>
    <row r="181">
      <c r="B181" s="229" t="inlineStr">
        <is>
          <t>I darajali kapitalning monandlik koeffitsienti</t>
        </is>
      </c>
      <c r="C181" s="228" t="inlineStr">
        <is>
          <t>&lt;10%</t>
        </is>
      </c>
      <c r="D181" s="228" t="inlineStr">
        <is>
          <t>10%&lt;=…&lt;12%</t>
        </is>
      </c>
      <c r="E181" s="228" t="inlineStr">
        <is>
          <t>12%&lt;=…&lt;15%</t>
        </is>
      </c>
      <c r="F181" s="230" t="inlineStr">
        <is>
          <t>&gt;=15%</t>
        </is>
      </c>
    </row>
    <row r="182">
      <c r="B182" s="229" t="inlineStr">
        <is>
          <t>Ball</t>
        </is>
      </c>
      <c r="C182" s="228" t="n">
        <v>0</v>
      </c>
      <c r="D182" s="228" t="n">
        <v>5</v>
      </c>
      <c r="E182" s="228" t="n">
        <v>10</v>
      </c>
      <c r="F182" s="228" t="n">
        <v>15</v>
      </c>
    </row>
    <row r="183">
      <c r="B183" s="229" t="inlineStr">
        <is>
          <t>I darajali asosiy kapitalning monandlik koeffitsienti</t>
        </is>
      </c>
      <c r="C183" s="228" t="inlineStr">
        <is>
          <t>&lt;8%</t>
        </is>
      </c>
      <c r="D183" s="228" t="inlineStr">
        <is>
          <t>8%&lt;=…&lt;10%</t>
        </is>
      </c>
      <c r="E183" s="228" t="inlineStr">
        <is>
          <t>10%&lt;=…&lt;12%</t>
        </is>
      </c>
      <c r="F183" s="230" t="inlineStr">
        <is>
          <t>&gt;=12%</t>
        </is>
      </c>
    </row>
    <row r="184">
      <c r="B184" s="229" t="inlineStr">
        <is>
          <t>Ball</t>
        </is>
      </c>
      <c r="C184" s="228" t="n">
        <v>0</v>
      </c>
      <c r="D184" s="228" t="n">
        <v>5</v>
      </c>
      <c r="E184" s="228" t="n">
        <v>10</v>
      </c>
      <c r="F184" s="228" t="n">
        <v>15</v>
      </c>
    </row>
    <row r="185">
      <c r="B185" s="229" t="inlineStr">
        <is>
          <t>Leveraj</t>
        </is>
      </c>
      <c r="C185" s="228" t="inlineStr">
        <is>
          <t>&lt;6%</t>
        </is>
      </c>
      <c r="D185" s="228" t="inlineStr">
        <is>
          <t>6%&lt;=…&lt;8%</t>
        </is>
      </c>
      <c r="E185" s="228" t="inlineStr">
        <is>
          <t>8%&lt;=…&lt;10%</t>
        </is>
      </c>
      <c r="F185" s="230" t="inlineStr">
        <is>
          <t>&gt;=10%</t>
        </is>
      </c>
    </row>
    <row r="186">
      <c r="B186" s="229" t="inlineStr">
        <is>
          <t>Ball</t>
        </is>
      </c>
      <c r="C186" s="228" t="n">
        <v>0</v>
      </c>
      <c r="D186" s="228" t="n">
        <v>5</v>
      </c>
      <c r="E186" s="228" t="n">
        <v>10</v>
      </c>
      <c r="F186" s="228" t="n">
        <v>15</v>
      </c>
    </row>
    <row r="187" ht="15.75" customHeight="1">
      <c r="B187" s="264" t="inlineStr">
        <is>
          <t>Likvidlik koʻrsatkichi</t>
        </is>
      </c>
      <c r="C187" s="297" t="n"/>
      <c r="D187" s="297" t="n"/>
      <c r="E187" s="297" t="n"/>
      <c r="F187" s="298" t="n"/>
    </row>
    <row r="188">
      <c r="B188" s="229" t="inlineStr">
        <is>
          <t>Yuqori likvidli aktivlarning jami aktivlardagi ulushi</t>
        </is>
      </c>
      <c r="C188" s="228" t="inlineStr">
        <is>
          <t>&lt;10%</t>
        </is>
      </c>
      <c r="D188" s="228" t="inlineStr">
        <is>
          <t>10%&lt;=…&lt;12%</t>
        </is>
      </c>
      <c r="E188" s="228" t="inlineStr">
        <is>
          <t>12%&lt;=…&lt;15%</t>
        </is>
      </c>
      <c r="F188" s="230" t="inlineStr">
        <is>
          <t>&gt;=15%</t>
        </is>
      </c>
    </row>
    <row r="189">
      <c r="B189" s="229" t="inlineStr">
        <is>
          <t>Ball</t>
        </is>
      </c>
      <c r="C189" s="228" t="n">
        <v>0</v>
      </c>
      <c r="D189" s="228" t="n">
        <v>5</v>
      </c>
      <c r="E189" s="228" t="n">
        <v>10</v>
      </c>
      <c r="F189" s="228" t="n">
        <v>15</v>
      </c>
    </row>
    <row r="190">
      <c r="B190" s="229" t="inlineStr">
        <is>
          <t>Likvidlikni qoplash me’yori</t>
        </is>
      </c>
      <c r="C190" s="228" t="inlineStr">
        <is>
          <t>&lt;100%</t>
        </is>
      </c>
      <c r="D190" s="228" t="inlineStr">
        <is>
          <t>100%&lt;=…&lt;120%</t>
        </is>
      </c>
      <c r="E190" s="228" t="inlineStr">
        <is>
          <t>120%&lt;=…&lt;150%</t>
        </is>
      </c>
      <c r="F190" s="230" t="inlineStr">
        <is>
          <t>&gt;=150%</t>
        </is>
      </c>
    </row>
    <row r="191">
      <c r="B191" s="229" t="inlineStr">
        <is>
          <t>Ball</t>
        </is>
      </c>
      <c r="C191" s="228" t="n">
        <v>0</v>
      </c>
      <c r="D191" s="228" t="n">
        <v>5</v>
      </c>
      <c r="E191" s="228" t="n">
        <v>10</v>
      </c>
      <c r="F191" s="228" t="n">
        <v>15</v>
      </c>
    </row>
    <row r="192">
      <c r="B192" s="229" t="inlineStr">
        <is>
          <t>Sof barqaror moliyalashtirish me’yori</t>
        </is>
      </c>
      <c r="C192" s="228" t="inlineStr">
        <is>
          <t>&lt;100%</t>
        </is>
      </c>
      <c r="D192" s="228" t="inlineStr">
        <is>
          <t>100%&lt;=…&lt;120%</t>
        </is>
      </c>
      <c r="E192" s="228" t="inlineStr">
        <is>
          <t>120%&lt;=…&lt;150%</t>
        </is>
      </c>
      <c r="F192" s="230" t="inlineStr">
        <is>
          <t>&gt;=150%</t>
        </is>
      </c>
    </row>
    <row r="193">
      <c r="B193" s="229" t="inlineStr">
        <is>
          <t>Ball</t>
        </is>
      </c>
      <c r="C193" s="228" t="n">
        <v>0</v>
      </c>
      <c r="D193" s="228" t="n">
        <v>5</v>
      </c>
      <c r="E193" s="228" t="n">
        <v>10</v>
      </c>
      <c r="F193" s="228" t="n">
        <v>15</v>
      </c>
    </row>
    <row r="194" ht="15.75" customHeight="1">
      <c r="B194" s="264" t="inlineStr">
        <is>
          <t>Aktivlar</t>
        </is>
      </c>
      <c r="C194" s="297" t="n"/>
      <c r="D194" s="297" t="n"/>
      <c r="E194" s="297" t="n"/>
      <c r="F194" s="298" t="n"/>
    </row>
    <row r="195">
      <c r="B195" s="229" t="inlineStr">
        <is>
          <t>Foizli daromadlar / daromad keltiruvchi aktivlar</t>
        </is>
      </c>
      <c r="C195" s="228" t="inlineStr">
        <is>
          <t>&lt;2,5%</t>
        </is>
      </c>
      <c r="D195" s="228" t="inlineStr">
        <is>
          <t>2,5%&lt;=…&lt;5,0%</t>
        </is>
      </c>
      <c r="E195" s="228" t="inlineStr">
        <is>
          <t>5,0%&lt;=…&lt;7,5%</t>
        </is>
      </c>
      <c r="F195" s="230" t="inlineStr">
        <is>
          <t>&gt;=7,5%</t>
        </is>
      </c>
    </row>
    <row r="196">
      <c r="B196" s="229" t="inlineStr">
        <is>
          <t>Ball</t>
        </is>
      </c>
      <c r="C196" s="228" t="n">
        <v>0</v>
      </c>
      <c r="D196" s="228" t="n">
        <v>5</v>
      </c>
      <c r="E196" s="228" t="n">
        <v>10</v>
      </c>
      <c r="F196" s="228" t="n">
        <v>15</v>
      </c>
    </row>
    <row r="197">
      <c r="B197" s="229" t="inlineStr">
        <is>
          <t>Hisoblangan lekin undirilmagan foizlar / daromad keltiruvchi aktivlar</t>
        </is>
      </c>
      <c r="C197" s="228" t="inlineStr">
        <is>
          <t>&lt;1,5%</t>
        </is>
      </c>
      <c r="D197" s="228" t="inlineStr">
        <is>
          <t>1,5%&lt;=…&lt;3,0%</t>
        </is>
      </c>
      <c r="E197" s="228" t="inlineStr">
        <is>
          <t>3,0%&lt;=…&lt;5,0%</t>
        </is>
      </c>
      <c r="F197" s="230" t="inlineStr">
        <is>
          <t>&gt;=5,0%</t>
        </is>
      </c>
    </row>
    <row r="198">
      <c r="B198" s="229" t="inlineStr">
        <is>
          <t>Ball</t>
        </is>
      </c>
      <c r="C198" s="228" t="n">
        <v>15</v>
      </c>
      <c r="D198" s="228" t="n">
        <v>10</v>
      </c>
      <c r="E198" s="228" t="n">
        <v>5</v>
      </c>
      <c r="F198" s="228" t="n">
        <v>0</v>
      </c>
    </row>
    <row r="199">
      <c r="B199" s="229" t="inlineStr">
        <is>
          <t>Hisoblangan lekin undirilmagan foizlar / daromadlar</t>
        </is>
      </c>
      <c r="C199" s="228" t="inlineStr">
        <is>
          <t>&lt;20%</t>
        </is>
      </c>
      <c r="D199" s="228" t="inlineStr">
        <is>
          <t>20%&lt;=…&lt;30%</t>
        </is>
      </c>
      <c r="E199" s="228" t="inlineStr">
        <is>
          <t>30%&lt;=…&lt;40%</t>
        </is>
      </c>
      <c r="F199" s="230" t="inlineStr">
        <is>
          <t>&gt;=40%</t>
        </is>
      </c>
    </row>
    <row r="200">
      <c r="B200" s="229" t="inlineStr">
        <is>
          <t>Ball</t>
        </is>
      </c>
      <c r="C200" s="228" t="n">
        <v>15</v>
      </c>
      <c r="D200" s="228" t="n">
        <v>10</v>
      </c>
      <c r="E200" s="228" t="n">
        <v>5</v>
      </c>
      <c r="F200" s="228" t="n">
        <v>0</v>
      </c>
    </row>
    <row r="201" ht="15.75" customHeight="1">
      <c r="B201" s="264" t="inlineStr">
        <is>
          <t>Rentabellik koʻrsatkichi</t>
        </is>
      </c>
      <c r="C201" s="297" t="n"/>
      <c r="D201" s="297" t="n"/>
      <c r="E201" s="297" t="n"/>
      <c r="F201" s="298" t="n"/>
    </row>
    <row r="202">
      <c r="B202" s="229" t="inlineStr">
        <is>
          <t>Sof foyda / jami aktivlar</t>
        </is>
      </c>
      <c r="C202" s="228" t="inlineStr">
        <is>
          <t>&lt;1%</t>
        </is>
      </c>
      <c r="D202" s="228" t="inlineStr">
        <is>
          <t>1%&lt;=…&lt;2%</t>
        </is>
      </c>
      <c r="E202" s="228" t="inlineStr">
        <is>
          <t>2%&lt;=…&lt;3%</t>
        </is>
      </c>
      <c r="F202" s="230" t="inlineStr">
        <is>
          <t>&gt;=3%</t>
        </is>
      </c>
    </row>
    <row r="203">
      <c r="B203" s="229" t="inlineStr">
        <is>
          <t>Ball</t>
        </is>
      </c>
      <c r="C203" s="228" t="n">
        <v>0</v>
      </c>
      <c r="D203" s="228" t="n">
        <v>5</v>
      </c>
      <c r="E203" s="228" t="n">
        <v>10</v>
      </c>
      <c r="F203" s="228" t="n">
        <v>15</v>
      </c>
    </row>
    <row r="204">
      <c r="B204" s="229" t="inlineStr">
        <is>
          <t>Sof foyda / kapital</t>
        </is>
      </c>
      <c r="C204" s="228" t="inlineStr">
        <is>
          <t>&lt;5%</t>
        </is>
      </c>
      <c r="D204" s="228" t="inlineStr">
        <is>
          <t>5%&lt;=…&lt;10%</t>
        </is>
      </c>
      <c r="E204" s="228" t="inlineStr">
        <is>
          <t>10%&lt;=…&lt;15%</t>
        </is>
      </c>
      <c r="F204" s="230" t="inlineStr">
        <is>
          <t>&gt;=15%</t>
        </is>
      </c>
    </row>
    <row r="205">
      <c r="B205" s="229" t="inlineStr">
        <is>
          <t>Ball</t>
        </is>
      </c>
      <c r="C205" s="228" t="n">
        <v>0</v>
      </c>
      <c r="D205" s="228" t="n">
        <v>5</v>
      </c>
      <c r="E205" s="228" t="n">
        <v>10</v>
      </c>
      <c r="F205" s="228" t="n">
        <v>15</v>
      </c>
    </row>
    <row r="206">
      <c r="B206" s="229" t="inlineStr">
        <is>
          <t>Xarajatlar / daromadlar</t>
        </is>
      </c>
      <c r="C206" s="228" t="inlineStr">
        <is>
          <t>&lt;70%</t>
        </is>
      </c>
      <c r="D206" s="228" t="inlineStr">
        <is>
          <t>70%&lt;=…&lt;80%</t>
        </is>
      </c>
      <c r="E206" s="228" t="inlineStr">
        <is>
          <t>80%&lt;=…&lt;90%</t>
        </is>
      </c>
      <c r="F206" s="230" t="inlineStr">
        <is>
          <t>&gt;=90%</t>
        </is>
      </c>
    </row>
    <row r="207">
      <c r="B207" s="229" t="inlineStr">
        <is>
          <t>Ball</t>
        </is>
      </c>
      <c r="C207" s="228" t="n">
        <v>15</v>
      </c>
      <c r="D207" s="228" t="n">
        <v>10</v>
      </c>
      <c r="E207" s="228" t="n">
        <v>5</v>
      </c>
      <c r="F207" s="228" t="n">
        <v>0</v>
      </c>
    </row>
  </sheetData>
  <mergeCells count="18">
    <mergeCell ref="B111:B112"/>
    <mergeCell ref="B109:B110"/>
    <mergeCell ref="B115:B116"/>
    <mergeCell ref="C1:AJ1"/>
    <mergeCell ref="B178:F178"/>
    <mergeCell ref="B187:F187"/>
    <mergeCell ref="B194:F194"/>
    <mergeCell ref="B201:F201"/>
    <mergeCell ref="B113:B114"/>
    <mergeCell ref="B136:B137"/>
    <mergeCell ref="B134:B135"/>
    <mergeCell ref="B132:B133"/>
    <mergeCell ref="B129:B130"/>
    <mergeCell ref="B127:B128"/>
    <mergeCell ref="B125:B126"/>
    <mergeCell ref="B122:B123"/>
    <mergeCell ref="B120:B121"/>
    <mergeCell ref="B118:B119"/>
  </mergeCells>
  <pageMargins left="0.7" right="0.7" top="0.75" bottom="0.75" header="0.3" footer="0.3"/>
  <pageSetup orientation="landscape" paperSize="9" scale="14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zoomScale="85" zoomScaleNormal="85" workbookViewId="0">
      <selection activeCell="F3" sqref="F3"/>
    </sheetView>
  </sheetViews>
  <sheetFormatPr baseColWidth="8" defaultRowHeight="12.75"/>
  <cols>
    <col width="6.5703125" customWidth="1" style="6" min="1" max="1"/>
    <col width="36.140625" customWidth="1" style="6" min="2" max="2"/>
    <col width="12.42578125" customWidth="1" style="6" min="3" max="3"/>
    <col width="15.140625" customWidth="1" style="6" min="4" max="4"/>
    <col width="13.85546875" customWidth="1" style="6" min="5" max="5"/>
    <col width="12.85546875" customWidth="1" style="6" min="6" max="6"/>
    <col width="9.140625" customWidth="1" style="6" min="7" max="16384"/>
  </cols>
  <sheetData>
    <row r="1" ht="21" customHeight="1">
      <c r="A1" s="272" t="inlineStr">
        <is>
          <t>Основные показатели</t>
        </is>
      </c>
    </row>
    <row r="2">
      <c r="D2" s="9" t="n">
        <v>44378</v>
      </c>
    </row>
    <row r="3" ht="25.5" customHeight="1">
      <c r="A3" s="7" t="inlineStr">
        <is>
          <t>№</t>
        </is>
      </c>
      <c r="B3" s="8" t="inlineStr">
        <is>
          <t xml:space="preserve">Показатели баланса </t>
        </is>
      </c>
      <c r="C3" s="8" t="inlineStr">
        <is>
          <t xml:space="preserve">Sberbank </t>
        </is>
      </c>
      <c r="D3" s="8" t="inlineStr">
        <is>
          <t>АО Россельхозбанк</t>
        </is>
      </c>
      <c r="E3" s="8" t="inlineStr">
        <is>
          <t>ТКБ БАНК ПАО</t>
        </is>
      </c>
      <c r="F3" s="8" t="inlineStr">
        <is>
          <t>Asia Invest bank</t>
        </is>
      </c>
    </row>
    <row r="4">
      <c r="A4" s="7" t="n">
        <v>1</v>
      </c>
      <c r="B4" s="7" t="inlineStr">
        <is>
          <t xml:space="preserve">Активы </t>
        </is>
      </c>
      <c r="C4" s="7" t="n"/>
      <c r="D4" s="7" t="n"/>
      <c r="E4" s="7" t="n"/>
      <c r="F4" s="7" t="n"/>
    </row>
    <row r="5">
      <c r="A5" s="7">
        <f>+A4+1</f>
        <v/>
      </c>
      <c r="B5" s="7" t="inlineStr">
        <is>
          <t>Кредиты юридическим лицам</t>
        </is>
      </c>
      <c r="C5" s="7" t="n"/>
      <c r="D5" s="7" t="n"/>
      <c r="E5" s="7" t="n"/>
      <c r="F5" s="7" t="n"/>
    </row>
    <row r="6">
      <c r="A6" s="7">
        <f>+A5+1</f>
        <v/>
      </c>
      <c r="B6" s="7" t="inlineStr">
        <is>
          <t>Кредиты физическим лицам</t>
        </is>
      </c>
      <c r="C6" s="7" t="n"/>
      <c r="D6" s="7" t="n"/>
      <c r="E6" s="7" t="n"/>
      <c r="F6" s="7" t="n"/>
    </row>
    <row r="7" ht="25.5" customHeight="1">
      <c r="A7" s="7">
        <f>+A6+1</f>
        <v/>
      </c>
      <c r="B7" s="7" t="inlineStr">
        <is>
          <t>Резервы на возможные потери по кредитам клиентам</t>
        </is>
      </c>
      <c r="C7" s="7" t="n"/>
      <c r="D7" s="7" t="n"/>
      <c r="E7" s="7" t="n"/>
      <c r="F7" s="7" t="n"/>
    </row>
    <row r="8">
      <c r="A8" s="7">
        <f>+A7+1</f>
        <v/>
      </c>
      <c r="B8" s="7" t="inlineStr">
        <is>
          <t>Вложения в ценные бумаги</t>
        </is>
      </c>
      <c r="C8" s="7" t="n"/>
      <c r="D8" s="7" t="n"/>
      <c r="E8" s="7" t="n"/>
      <c r="F8" s="7" t="n"/>
    </row>
    <row r="9">
      <c r="A9" s="7">
        <f>+A8+1</f>
        <v/>
      </c>
      <c r="B9" s="7" t="inlineStr">
        <is>
          <t>Средства физических лиц</t>
        </is>
      </c>
      <c r="C9" s="7" t="n"/>
      <c r="D9" s="7" t="n"/>
      <c r="E9" s="7" t="n"/>
      <c r="F9" s="7" t="n"/>
    </row>
    <row r="10">
      <c r="A10" s="7">
        <f>+A9+1</f>
        <v/>
      </c>
      <c r="B10" s="7" t="inlineStr">
        <is>
          <t>Средства юридических лиц</t>
        </is>
      </c>
      <c r="C10" s="7" t="n"/>
      <c r="D10" s="7" t="n"/>
      <c r="E10" s="7" t="n"/>
      <c r="F10" s="7" t="n"/>
    </row>
    <row r="11">
      <c r="A11" s="7">
        <f>+A10+1</f>
        <v/>
      </c>
      <c r="B11" s="7" t="inlineStr">
        <is>
          <t>Собственные средства</t>
        </is>
      </c>
      <c r="C11" s="7" t="n"/>
      <c r="D11" s="7" t="n"/>
      <c r="E11" s="7" t="n"/>
      <c r="F11" s="7" t="n"/>
    </row>
    <row r="12">
      <c r="A12" s="7">
        <f>+A11+1</f>
        <v/>
      </c>
      <c r="B12" s="7" t="inlineStr">
        <is>
          <t>Капитал базовый (Н1.1)*</t>
        </is>
      </c>
      <c r="C12" s="7" t="n"/>
      <c r="D12" s="7" t="n"/>
      <c r="E12" s="7" t="n"/>
      <c r="F12" s="7" t="n"/>
    </row>
    <row r="13">
      <c r="A13" s="7">
        <f>+A12+1</f>
        <v/>
      </c>
      <c r="B13" s="7" t="inlineStr">
        <is>
          <t>Капитал основной (Н1.2)*</t>
        </is>
      </c>
      <c r="C13" s="7" t="n"/>
      <c r="D13" s="7" t="n"/>
      <c r="E13" s="7" t="n"/>
      <c r="F13" s="7" t="n"/>
    </row>
    <row r="14">
      <c r="A14" s="7">
        <f>+A13+1</f>
        <v/>
      </c>
      <c r="B14" s="7" t="inlineStr">
        <is>
          <t>Капитал общий (Н1.0)*</t>
        </is>
      </c>
      <c r="C14" s="7" t="n"/>
      <c r="D14" s="7" t="n"/>
      <c r="E14" s="7" t="n"/>
      <c r="F14" s="7" t="n"/>
    </row>
    <row r="15" ht="25.5" customHeight="1">
      <c r="A15" s="7">
        <f>+A14+1</f>
        <v/>
      </c>
      <c r="B15" s="7" t="inlineStr">
        <is>
          <t xml:space="preserve">Достаточность базового капитала Н1.1 (мин. 4,5%)* </t>
        </is>
      </c>
      <c r="C15" s="7" t="n"/>
      <c r="D15" s="7" t="n"/>
      <c r="E15" s="7" t="n"/>
      <c r="F15" s="7" t="n"/>
    </row>
    <row r="16" ht="25.5" customHeight="1">
      <c r="A16" s="7">
        <f>+A15+1</f>
        <v/>
      </c>
      <c r="B16" s="7" t="inlineStr">
        <is>
          <t>Достаточность основного капитала Н1.2 (мин. 6,0%)*</t>
        </is>
      </c>
      <c r="C16" s="7" t="n"/>
      <c r="D16" s="7" t="n"/>
      <c r="E16" s="7" t="n"/>
      <c r="F16" s="7" t="n"/>
    </row>
    <row r="17" ht="25.5" customHeight="1">
      <c r="A17" s="7">
        <f>+A16+1</f>
        <v/>
      </c>
      <c r="B17" s="7" t="inlineStr">
        <is>
          <t>Достаточность общего капитала Н1.0 (мин. 8,0%)*</t>
        </is>
      </c>
      <c r="C17" s="7" t="n"/>
      <c r="D17" s="7" t="n"/>
      <c r="E17" s="7" t="n"/>
      <c r="F17" s="7" t="n"/>
    </row>
    <row r="18" ht="25.5" customHeight="1">
      <c r="A18" s="7" t="n"/>
      <c r="B18" s="8" t="inlineStr">
        <is>
          <t>Показатели отчета о финансовых результата</t>
        </is>
      </c>
      <c r="C18" s="8" t="n"/>
      <c r="D18" s="8" t="n"/>
      <c r="E18" s="8" t="n"/>
      <c r="F18" s="8" t="n"/>
    </row>
    <row r="19" ht="15.75" customHeight="1">
      <c r="A19" s="7">
        <f>+A17+1</f>
        <v/>
      </c>
      <c r="B19" s="7" t="inlineStr">
        <is>
          <t>Чистый процентный доход</t>
        </is>
      </c>
      <c r="C19" s="7" t="n"/>
      <c r="D19" s="7" t="n"/>
      <c r="E19" s="7" t="n"/>
      <c r="F19" s="7" t="n"/>
    </row>
    <row r="20" ht="15.75" customHeight="1">
      <c r="A20" s="7">
        <f>+A19+1</f>
        <v/>
      </c>
      <c r="B20" s="7" t="inlineStr">
        <is>
          <t>Чистый комиссионный доход</t>
        </is>
      </c>
      <c r="C20" s="7" t="n"/>
      <c r="D20" s="7" t="n"/>
      <c r="E20" s="7" t="n"/>
      <c r="F20" s="7" t="n"/>
    </row>
    <row r="21" ht="31.5" customHeight="1">
      <c r="A21" s="7">
        <f>+A20+1</f>
        <v/>
      </c>
      <c r="B21" s="7" t="inlineStr">
        <is>
          <t>Чистый доход от валютной переоценки и торговых операций</t>
        </is>
      </c>
      <c r="C21" s="7" t="n"/>
      <c r="D21" s="7" t="n"/>
      <c r="E21" s="7" t="n"/>
      <c r="F21" s="7" t="n"/>
    </row>
    <row r="22" ht="31.5" customHeight="1">
      <c r="A22" s="7">
        <f>+A21+1</f>
        <v/>
      </c>
      <c r="B22" s="7" t="inlineStr">
        <is>
          <t>Операционные доходы до резервов</t>
        </is>
      </c>
      <c r="C22" s="7" t="n"/>
      <c r="D22" s="7" t="n"/>
      <c r="E22" s="7" t="n"/>
      <c r="F22" s="7" t="n"/>
    </row>
    <row r="23" ht="15.75" customHeight="1">
      <c r="A23" s="7">
        <f>+A22+1</f>
        <v/>
      </c>
      <c r="B23" s="7" t="inlineStr">
        <is>
          <t>Расходы по совокупным резервам</t>
        </is>
      </c>
      <c r="C23" s="7" t="n"/>
      <c r="D23" s="7" t="n"/>
      <c r="E23" s="7" t="n"/>
      <c r="F23" s="7" t="n"/>
    </row>
    <row r="24" ht="15.75" customHeight="1">
      <c r="A24" s="7">
        <f>+A23+1</f>
        <v/>
      </c>
      <c r="B24" s="7" t="inlineStr">
        <is>
          <t>Операционные расходы</t>
        </is>
      </c>
      <c r="C24" s="7" t="n"/>
      <c r="D24" s="7" t="n"/>
      <c r="E24" s="7" t="n"/>
      <c r="F24" s="7" t="n"/>
    </row>
    <row r="25" ht="15.75" customHeight="1">
      <c r="A25" s="7">
        <f>+A24+1</f>
        <v/>
      </c>
      <c r="B25" s="7" t="inlineStr">
        <is>
          <t>Прибыль до налога на прибыль</t>
        </is>
      </c>
      <c r="C25" s="7" t="n"/>
      <c r="D25" s="7" t="n"/>
      <c r="E25" s="7" t="n"/>
      <c r="F25" s="7" t="n"/>
    </row>
    <row r="26" ht="15.75" customHeight="1">
      <c r="A26" s="7">
        <f>+A25+1</f>
        <v/>
      </c>
      <c r="B26" s="7" t="inlineStr">
        <is>
          <t>Чистая прибыль</t>
        </is>
      </c>
      <c r="C26" s="7" t="n"/>
      <c r="D26" s="7" t="n"/>
      <c r="E26" s="7" t="n"/>
      <c r="F26" s="7" t="n"/>
    </row>
    <row r="27" ht="31.5" customHeight="1">
      <c r="A27" s="7">
        <f>+A26+1</f>
        <v/>
      </c>
      <c r="B27" s="7" t="inlineStr">
        <is>
          <t>Совокупный финансовый результат</t>
        </is>
      </c>
      <c r="C27" s="7" t="n"/>
      <c r="D27" s="7" t="n"/>
      <c r="E27" s="7" t="n"/>
      <c r="F27" s="7" t="n"/>
    </row>
    <row r="28" ht="18" customHeight="1">
      <c r="A28" s="7">
        <f>+A27+1</f>
        <v/>
      </c>
      <c r="B28" s="8" t="inlineStr">
        <is>
          <t>Качественные показатели (%)</t>
        </is>
      </c>
      <c r="C28" s="7" t="n"/>
      <c r="D28" s="7" t="n"/>
      <c r="E28" s="7" t="n"/>
      <c r="F28" s="7" t="n"/>
    </row>
    <row r="29" ht="15.75" customHeight="1">
      <c r="A29" s="7">
        <f>+A28+1</f>
        <v/>
      </c>
      <c r="B29" s="7" t="inlineStr">
        <is>
          <t>Рентабельность активов</t>
        </is>
      </c>
      <c r="C29" s="7" t="n"/>
      <c r="D29" s="7" t="n"/>
      <c r="E29" s="7" t="n"/>
      <c r="F29" s="7" t="n"/>
    </row>
    <row r="30" ht="15.75" customHeight="1">
      <c r="A30" s="7">
        <f>+A29+1</f>
        <v/>
      </c>
      <c r="B30" s="7" t="inlineStr">
        <is>
          <t>Рентабельность капитала</t>
        </is>
      </c>
      <c r="C30" s="7" t="n"/>
      <c r="D30" s="7" t="n"/>
      <c r="E30" s="7" t="n"/>
      <c r="F30" s="7" t="n"/>
    </row>
    <row r="31" ht="31.5" customHeight="1">
      <c r="A31" s="7">
        <f>+A30+1</f>
        <v/>
      </c>
      <c r="B31" s="7" t="inlineStr">
        <is>
          <t>Отношение операционных расходов к доходам</t>
        </is>
      </c>
      <c r="C31" s="7" t="n"/>
      <c r="D31" s="7" t="n"/>
      <c r="E31" s="7" t="n"/>
      <c r="F31" s="7" t="n"/>
    </row>
    <row r="32" ht="31.5" customHeight="1">
      <c r="A32" s="7">
        <f>+A31+1</f>
        <v/>
      </c>
      <c r="B32" s="7" t="inlineStr">
        <is>
          <t>Отношение расходов к средним активам за период</t>
        </is>
      </c>
      <c r="C32" s="7" t="n"/>
      <c r="D32" s="7" t="n"/>
      <c r="E32" s="7" t="n"/>
      <c r="F32" s="7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X67"/>
  <sheetViews>
    <sheetView showGridLines="0" tabSelected="1" topLeftCell="A10" zoomScaleNormal="100" workbookViewId="0">
      <selection activeCell="E44" sqref="E44"/>
    </sheetView>
  </sheetViews>
  <sheetFormatPr baseColWidth="8" defaultColWidth="24.7109375" defaultRowHeight="12.75"/>
  <cols>
    <col width="3.42578125" bestFit="1" customWidth="1" style="33" min="1" max="1"/>
    <col width="25.85546875" customWidth="1" style="33" min="2" max="2"/>
    <col width="25.5703125" customWidth="1" style="33" min="3" max="10"/>
    <col width="17.7109375" customWidth="1" style="33" min="11" max="14"/>
    <col width="16.7109375" customWidth="1" style="33" min="15" max="15"/>
    <col width="4.7109375" customWidth="1" style="33" min="16" max="16"/>
    <col width="23.140625" customWidth="1" style="33" min="17" max="20"/>
    <col width="24.5703125" customWidth="1" style="33" min="21" max="22"/>
    <col width="23.140625" customWidth="1" style="33" min="23" max="23"/>
    <col width="7" customWidth="1" style="33" min="24" max="24"/>
    <col width="24.7109375" customWidth="1" style="33" min="25" max="16384"/>
  </cols>
  <sheetData>
    <row r="2" ht="15" customHeight="1">
      <c r="B2" s="66" t="inlineStr">
        <is>
          <t>ming. so‘m</t>
        </is>
      </c>
      <c r="C2" s="66" t="n">
        <v>45839</v>
      </c>
    </row>
    <row r="3" ht="38.25" customHeight="1">
      <c r="B3" s="273" t="inlineStr">
        <is>
          <t>Банкнинг чет эл валютасидаги умумий активлар</t>
        </is>
      </c>
      <c r="C3" s="273" t="inlineStr">
        <is>
          <t>USD</t>
        </is>
      </c>
      <c r="D3" s="273" t="inlineStr">
        <is>
          <t>EUR</t>
        </is>
      </c>
      <c r="E3" s="273" t="inlineStr">
        <is>
          <t>RUB</t>
        </is>
      </c>
      <c r="F3" s="273" t="inlineStr">
        <is>
          <t>TRY</t>
        </is>
      </c>
      <c r="G3" s="273" t="inlineStr">
        <is>
          <t>GBP</t>
        </is>
      </c>
      <c r="H3" s="35" t="n"/>
    </row>
    <row r="4" ht="23.25" customHeight="1" thickBot="1">
      <c r="B4" s="48" t="n">
        <v>7490288944</v>
      </c>
      <c r="C4" s="299" t="n">
        <v>12654.13</v>
      </c>
      <c r="D4" s="299" t="n">
        <v>14817.99</v>
      </c>
      <c r="E4" s="299" t="n">
        <v>161.18</v>
      </c>
      <c r="F4" s="299" t="n">
        <v>317.27</v>
      </c>
      <c r="G4" s="300" t="n">
        <v>17386.77</v>
      </c>
      <c r="H4" s="301" t="n"/>
    </row>
    <row r="5">
      <c r="B5" s="301" t="n"/>
      <c r="P5" s="38" t="n"/>
      <c r="Q5" s="39" t="n"/>
      <c r="R5" s="39" t="n"/>
      <c r="S5" s="39" t="n"/>
      <c r="T5" s="39" t="n"/>
      <c r="U5" s="39" t="n"/>
      <c r="V5" s="39" t="n"/>
      <c r="W5" s="39" t="n"/>
      <c r="X5" s="40" t="n"/>
    </row>
    <row r="6" ht="13.5" customHeight="1" thickBot="1">
      <c r="L6" s="155" t="n">
        <v>5000000</v>
      </c>
      <c r="P6" s="41" t="n"/>
      <c r="X6" s="42" t="n"/>
    </row>
    <row r="7" ht="50.25" customHeight="1">
      <c r="A7" s="274" t="inlineStr">
        <is>
          <t>№</t>
        </is>
      </c>
      <c r="B7" s="274" t="inlineStr">
        <is>
          <t>Мамлакат номи</t>
        </is>
      </c>
      <c r="C7" s="274" t="inlineStr">
        <is>
          <t>Халқаро рейтинг агентликларининг узоқ муддатли суверен кредит рейтинглари</t>
        </is>
      </c>
      <c r="D7" s="297" t="n"/>
      <c r="E7" s="298" t="n"/>
      <c r="F7" s="274" t="inlineStr">
        <is>
          <t>Мамлакат бўйича банк рейтинги</t>
        </is>
      </c>
      <c r="G7" s="274" t="inlineStr">
        <is>
          <t>Бир мамлакат учун мумкин бўлган максимал ҳисоб-китоб лимити (банкнинг чет эл валютасидаги умумий активларининг фоизи)</t>
        </is>
      </c>
      <c r="H7" s="274" t="inlineStr">
        <is>
          <t>Банкнинг чет эл валютасидаги умумий активлар</t>
        </is>
      </c>
      <c r="I7" s="274" t="inlineStr">
        <is>
          <t>Якуний лимит (UZS)</t>
        </is>
      </c>
      <c r="J7" s="274" t="inlineStr">
        <is>
          <t>Якуний лимит (USD)</t>
        </is>
      </c>
      <c r="L7" s="155">
        <f>+L6*18%/24</f>
        <v/>
      </c>
      <c r="P7" s="41" t="n"/>
      <c r="Q7" s="277" t="inlineStr">
        <is>
          <t>Xalqaro reyting agentliklarining uzoq muddatli suveren kredit reytinglari</t>
        </is>
      </c>
      <c r="R7" s="302" t="n"/>
      <c r="S7" s="303" t="n"/>
      <c r="T7" s="278" t="inlineStr">
        <is>
          <t>Mamlakat va hamkor banklar boʻyicha reyting</t>
        </is>
      </c>
      <c r="U7" s="278" t="inlineStr">
        <is>
          <t>Bir mamlakat uchun mumkin boʻlgan maksimal hisob-kitob limiti</t>
        </is>
      </c>
      <c r="V7" s="275" t="inlineStr">
        <is>
          <t>Hamkor bank uchun mumkin boʻlgan maksimal hisob-kitob limiti</t>
        </is>
      </c>
      <c r="X7" s="42" t="n"/>
    </row>
    <row r="8" ht="29.25" customHeight="1">
      <c r="A8" s="304" t="n"/>
      <c r="B8" s="304" t="n"/>
      <c r="C8" s="274" t="inlineStr">
        <is>
          <t>Standard &amp;Poor’s</t>
        </is>
      </c>
      <c r="D8" s="274" t="inlineStr">
        <is>
          <t>Moody’s</t>
        </is>
      </c>
      <c r="E8" s="274" t="inlineStr">
        <is>
          <t>Fitch Ratings</t>
        </is>
      </c>
      <c r="F8" s="304" t="n"/>
      <c r="G8" s="304" t="n"/>
      <c r="H8" s="304" t="n"/>
      <c r="I8" s="304" t="n"/>
      <c r="J8" s="304" t="n"/>
      <c r="P8" s="41" t="n"/>
      <c r="Q8" s="67" t="inlineStr">
        <is>
          <t>Standard &amp;Poor’s</t>
        </is>
      </c>
      <c r="R8" s="279" t="inlineStr">
        <is>
          <t>Moody’s</t>
        </is>
      </c>
      <c r="S8" s="279" t="inlineStr">
        <is>
          <t>Fitch Ratings</t>
        </is>
      </c>
      <c r="T8" s="304" t="n"/>
      <c r="U8" s="304" t="n"/>
      <c r="V8" s="305" t="n"/>
      <c r="X8" s="42" t="n"/>
    </row>
    <row r="9" ht="15.75" customHeight="1">
      <c r="A9" s="49" t="n">
        <v>1</v>
      </c>
      <c r="B9" s="27" t="inlineStr">
        <is>
          <t>Россия</t>
        </is>
      </c>
      <c r="C9" s="69" t="inlineStr">
        <is>
          <t>CCC+ ва ундан пастроқ</t>
        </is>
      </c>
      <c r="D9" s="69" t="inlineStr">
        <is>
          <t>B1, B2, B3</t>
        </is>
      </c>
      <c r="E9" s="69" t="inlineStr">
        <is>
          <t>B+,B, B-</t>
        </is>
      </c>
      <c r="F9" s="70" t="inlineStr">
        <is>
          <t>A</t>
        </is>
      </c>
      <c r="G9" s="59">
        <f>+VLOOKUP(F9,$T$9:$U$15,2,0)</f>
        <v/>
      </c>
      <c r="H9" s="48">
        <f>+B4*1000</f>
        <v/>
      </c>
      <c r="I9" s="48">
        <f>+H9*G9</f>
        <v/>
      </c>
      <c r="J9" s="48">
        <f>+I9/$C$4</f>
        <v/>
      </c>
      <c r="P9" s="41" t="n"/>
      <c r="Q9" s="71" t="inlineStr">
        <is>
          <t>AAA, AA+</t>
        </is>
      </c>
      <c r="R9" s="27" t="inlineStr">
        <is>
          <t>Aaa, Aa1</t>
        </is>
      </c>
      <c r="S9" s="27" t="inlineStr">
        <is>
          <t>AAA, AA+</t>
        </is>
      </c>
      <c r="T9" s="27" t="inlineStr">
        <is>
          <t>A+</t>
        </is>
      </c>
      <c r="U9" s="72" t="n">
        <v>0.3</v>
      </c>
      <c r="V9" s="45">
        <f>+U9/2</f>
        <v/>
      </c>
      <c r="X9" s="42" t="n"/>
    </row>
    <row r="10">
      <c r="A10" s="49" t="n">
        <v>2</v>
      </c>
      <c r="B10" s="27" t="inlineStr">
        <is>
          <t>Туркия</t>
        </is>
      </c>
      <c r="C10" s="69" t="inlineStr">
        <is>
          <t>BB+, BB, BB-</t>
        </is>
      </c>
      <c r="D10" s="69" t="inlineStr">
        <is>
          <t>B1, B2, B3</t>
        </is>
      </c>
      <c r="E10" s="69" t="inlineStr">
        <is>
          <t>BB+,BB, BB-</t>
        </is>
      </c>
      <c r="F10" s="70" t="inlineStr">
        <is>
          <t>B</t>
        </is>
      </c>
      <c r="G10" s="59">
        <f>+VLOOKUP(F10,$T$9:$U$15,2,0)</f>
        <v/>
      </c>
      <c r="H10" s="48">
        <f>+H9</f>
        <v/>
      </c>
      <c r="I10" s="48">
        <f>+H10*G10</f>
        <v/>
      </c>
      <c r="J10" s="48">
        <f>+I10/$C$4</f>
        <v/>
      </c>
      <c r="P10" s="41" t="n"/>
      <c r="Q10" s="71" t="inlineStr">
        <is>
          <t>AA, AA-</t>
        </is>
      </c>
      <c r="R10" s="27" t="inlineStr">
        <is>
          <t>Aa2, Aa3</t>
        </is>
      </c>
      <c r="S10" s="27" t="inlineStr">
        <is>
          <t>AA, AA-</t>
        </is>
      </c>
      <c r="T10" s="27" t="inlineStr">
        <is>
          <t>A</t>
        </is>
      </c>
      <c r="U10" s="72" t="n">
        <v>0.25</v>
      </c>
      <c r="V10" s="45">
        <f>+U10/2</f>
        <v/>
      </c>
      <c r="X10" s="42" t="n"/>
    </row>
    <row r="11">
      <c r="A11" s="49" t="n">
        <v>3</v>
      </c>
      <c r="B11" s="27" t="inlineStr">
        <is>
          <t>Germaniya</t>
        </is>
      </c>
      <c r="C11" s="69" t="inlineStr">
        <is>
          <t>AAA, AA+</t>
        </is>
      </c>
      <c r="D11" s="69" t="inlineStr">
        <is>
          <t>Aaa, Aa1</t>
        </is>
      </c>
      <c r="E11" s="69" t="inlineStr">
        <is>
          <t>AAA, AA+</t>
        </is>
      </c>
      <c r="F11" s="70" t="inlineStr">
        <is>
          <t>A+</t>
        </is>
      </c>
      <c r="G11" s="59">
        <f>+VLOOKUP(F11,$T$9:$U$15,2,0)</f>
        <v/>
      </c>
      <c r="H11" s="48">
        <f>+H10</f>
        <v/>
      </c>
      <c r="I11" s="48">
        <f>+H11*G11</f>
        <v/>
      </c>
      <c r="J11" s="48">
        <f>+I11/$C$4</f>
        <v/>
      </c>
      <c r="P11" s="41" t="n"/>
      <c r="Q11" s="71" t="inlineStr">
        <is>
          <t>A+, A, A-</t>
        </is>
      </c>
      <c r="R11" s="27" t="inlineStr">
        <is>
          <t>A1, A2, A3</t>
        </is>
      </c>
      <c r="S11" s="27" t="inlineStr">
        <is>
          <t>A+, A, A-</t>
        </is>
      </c>
      <c r="T11" s="27" t="inlineStr">
        <is>
          <t>A-</t>
        </is>
      </c>
      <c r="U11" s="72" t="n">
        <v>0.2</v>
      </c>
      <c r="V11" s="45">
        <f>+U11/2</f>
        <v/>
      </c>
      <c r="X11" s="42" t="n"/>
    </row>
    <row r="12">
      <c r="A12" s="49" t="n">
        <v>4</v>
      </c>
      <c r="B12" s="27" t="inlineStr">
        <is>
          <t>AQSH</t>
        </is>
      </c>
      <c r="C12" s="69" t="inlineStr">
        <is>
          <t>AAA, AA+</t>
        </is>
      </c>
      <c r="D12" s="69" t="inlineStr">
        <is>
          <t>Aaa, Aa1</t>
        </is>
      </c>
      <c r="E12" s="69" t="inlineStr">
        <is>
          <t>AAA, AA+</t>
        </is>
      </c>
      <c r="F12" s="70" t="inlineStr">
        <is>
          <t>A</t>
        </is>
      </c>
      <c r="G12" s="59">
        <f>+VLOOKUP(F12,$T$9:$U$15,2,0)</f>
        <v/>
      </c>
      <c r="H12" s="48">
        <f>+H11</f>
        <v/>
      </c>
      <c r="I12" s="48">
        <f>+H12*G12</f>
        <v/>
      </c>
      <c r="J12" s="48">
        <f>+I12/$C$4</f>
        <v/>
      </c>
      <c r="P12" s="41" t="n"/>
      <c r="Q12" s="71" t="inlineStr">
        <is>
          <t>BBB+, BBB, BBB-</t>
        </is>
      </c>
      <c r="R12" s="27" t="inlineStr">
        <is>
          <t>Baa1, Baa2, Baa3</t>
        </is>
      </c>
      <c r="S12" s="27" t="inlineStr">
        <is>
          <t>BBB+, BBB, BBB-</t>
        </is>
      </c>
      <c r="T12" s="27" t="inlineStr">
        <is>
          <t>B+</t>
        </is>
      </c>
      <c r="U12" s="72" t="n">
        <v>0.15</v>
      </c>
      <c r="V12" s="45">
        <f>+U12/2</f>
        <v/>
      </c>
      <c r="X12" s="42" t="n"/>
    </row>
    <row r="13">
      <c r="A13" s="49" t="n">
        <v>5</v>
      </c>
      <c r="B13" s="27" t="n"/>
      <c r="C13" s="69" t="n"/>
      <c r="D13" s="69" t="n"/>
      <c r="E13" s="69" t="n"/>
      <c r="F13" s="70" t="n"/>
      <c r="G13" s="59" t="n"/>
      <c r="H13" s="48" t="n"/>
      <c r="I13" s="48" t="n"/>
      <c r="J13" s="48" t="n"/>
      <c r="P13" s="41" t="n"/>
      <c r="Q13" s="71" t="inlineStr">
        <is>
          <t>BB+, BB, BB-</t>
        </is>
      </c>
      <c r="R13" s="27" t="inlineStr">
        <is>
          <t>Ba3, Ba1, Ba3</t>
        </is>
      </c>
      <c r="S13" s="27" t="inlineStr">
        <is>
          <t>BB+,BB, BB-</t>
        </is>
      </c>
      <c r="T13" s="27" t="inlineStr">
        <is>
          <t>B</t>
        </is>
      </c>
      <c r="U13" s="72" t="n">
        <v>0.12</v>
      </c>
      <c r="V13" s="45">
        <f>+U13/2</f>
        <v/>
      </c>
      <c r="X13" s="42" t="n"/>
    </row>
    <row r="14">
      <c r="A14" s="49" t="n">
        <v>6</v>
      </c>
      <c r="B14" s="27" t="n"/>
      <c r="C14" s="69" t="n"/>
      <c r="D14" s="69" t="n"/>
      <c r="E14" s="69" t="n"/>
      <c r="F14" s="70" t="n"/>
      <c r="G14" s="59" t="n"/>
      <c r="H14" s="48" t="n"/>
      <c r="I14" s="48" t="n"/>
      <c r="J14" s="48" t="n"/>
      <c r="P14" s="41" t="n"/>
      <c r="Q14" s="71" t="inlineStr">
        <is>
          <t>B+, B, B-</t>
        </is>
      </c>
      <c r="R14" s="27" t="inlineStr">
        <is>
          <t>B1, B2, B3</t>
        </is>
      </c>
      <c r="S14" s="27" t="inlineStr">
        <is>
          <t>B+,B, B-</t>
        </is>
      </c>
      <c r="T14" s="27" t="inlineStr">
        <is>
          <t>B-</t>
        </is>
      </c>
      <c r="U14" s="72" t="n">
        <v>0.1</v>
      </c>
      <c r="V14" s="45">
        <f>+U14/2</f>
        <v/>
      </c>
      <c r="X14" s="42" t="n"/>
    </row>
    <row r="15" ht="17.25" customHeight="1" thickBot="1">
      <c r="A15" s="49" t="n">
        <v>7</v>
      </c>
      <c r="B15" s="49" t="n"/>
      <c r="C15" s="69" t="n"/>
      <c r="D15" s="69" t="n"/>
      <c r="E15" s="69" t="n"/>
      <c r="F15" s="70" t="n"/>
      <c r="G15" s="59" t="n"/>
      <c r="H15" s="48" t="n"/>
      <c r="I15" s="48" t="n"/>
      <c r="J15" s="48" t="n"/>
      <c r="P15" s="41" t="n"/>
      <c r="Q15" s="73" t="inlineStr">
        <is>
          <t>CCC+ ва ундан пастроқ</t>
        </is>
      </c>
      <c r="R15" s="74" t="inlineStr">
        <is>
          <t>Caa1 ва ундан пастроқ</t>
        </is>
      </c>
      <c r="S15" s="74" t="inlineStr">
        <is>
          <t>CCC ва ундан пастроқ</t>
        </is>
      </c>
      <c r="T15" s="74" t="inlineStr">
        <is>
          <t>C</t>
        </is>
      </c>
      <c r="U15" s="75" t="n">
        <v>0.05</v>
      </c>
      <c r="V15" s="47">
        <f>+U15/2</f>
        <v/>
      </c>
      <c r="X15" s="42" t="n"/>
    </row>
    <row r="16">
      <c r="A16" s="49" t="n">
        <v>8</v>
      </c>
      <c r="B16" s="49" t="n"/>
      <c r="C16" s="69" t="n"/>
      <c r="D16" s="69" t="n"/>
      <c r="E16" s="69" t="n"/>
      <c r="F16" s="70" t="n"/>
      <c r="G16" s="59" t="n"/>
      <c r="H16" s="48" t="n"/>
      <c r="I16" s="48" t="n"/>
      <c r="J16" s="48" t="n"/>
      <c r="P16" s="41" t="n"/>
      <c r="Q16" s="29" t="n"/>
      <c r="R16" s="29" t="n"/>
      <c r="S16" s="29" t="n"/>
      <c r="T16" s="29" t="n"/>
      <c r="U16" s="76" t="n"/>
      <c r="X16" s="42" t="n"/>
    </row>
    <row r="17">
      <c r="A17" s="49" t="n">
        <v>9</v>
      </c>
      <c r="B17" s="49" t="n"/>
      <c r="C17" s="69" t="n"/>
      <c r="D17" s="69" t="n"/>
      <c r="E17" s="69" t="n"/>
      <c r="F17" s="70" t="n"/>
      <c r="G17" s="59" t="n"/>
      <c r="H17" s="48" t="n"/>
      <c r="I17" s="48" t="n"/>
      <c r="J17" s="48" t="n"/>
      <c r="P17" s="41" t="n"/>
      <c r="Q17" s="29" t="n"/>
      <c r="R17" s="29" t="n"/>
      <c r="S17" s="29" t="n"/>
      <c r="T17" s="29" t="n"/>
      <c r="U17" s="76" t="n"/>
      <c r="X17" s="42" t="n"/>
    </row>
    <row r="18">
      <c r="A18" s="49" t="n">
        <v>10</v>
      </c>
      <c r="B18" s="49" t="n"/>
      <c r="C18" s="69" t="n"/>
      <c r="D18" s="69" t="n"/>
      <c r="E18" s="69" t="n"/>
      <c r="F18" s="70" t="n"/>
      <c r="G18" s="59" t="n"/>
      <c r="H18" s="48" t="n"/>
      <c r="I18" s="48" t="n"/>
      <c r="J18" s="48" t="n"/>
      <c r="P18" s="41" t="n"/>
      <c r="Q18" s="29" t="n"/>
      <c r="R18" s="29" t="n"/>
      <c r="S18" s="29" t="n"/>
      <c r="T18" s="29" t="n"/>
      <c r="U18" s="76" t="n"/>
      <c r="X18" s="42" t="n"/>
    </row>
    <row r="19">
      <c r="P19" s="41" t="n"/>
      <c r="X19" s="42" t="n"/>
    </row>
    <row r="20">
      <c r="M20" s="33" t="inlineStr">
        <is>
          <t>True</t>
        </is>
      </c>
      <c r="P20" s="41" t="n"/>
      <c r="X20" s="42" t="n"/>
    </row>
    <row r="21">
      <c r="M21" s="33" t="inlineStr">
        <is>
          <t>False</t>
        </is>
      </c>
      <c r="P21" s="41" t="n"/>
      <c r="Q21" s="33" t="n"/>
      <c r="R21" s="33" t="n"/>
      <c r="S21" s="33" t="n"/>
      <c r="T21" s="33" t="n"/>
      <c r="U21" s="33" t="n"/>
      <c r="X21" s="42" t="n"/>
    </row>
    <row r="22" ht="78.75" customHeight="1">
      <c r="A22" s="274" t="inlineStr">
        <is>
          <t>№</t>
        </is>
      </c>
      <c r="B22" s="274" t="inlineStr">
        <is>
          <t>Банк номи</t>
        </is>
      </c>
      <c r="C22" s="273" t="inlineStr">
        <is>
          <t>Ҳамкор банк номи</t>
        </is>
      </c>
      <c r="D22" s="274" t="inlineStr">
        <is>
          <t>Standard &amp;Poor’s</t>
        </is>
      </c>
      <c r="E22" s="274" t="inlineStr">
        <is>
          <t>Moody’s</t>
        </is>
      </c>
      <c r="F22" s="274" t="inlineStr">
        <is>
          <t>Fitch Ratings</t>
        </is>
      </c>
      <c r="G22" s="274" t="inlineStr">
        <is>
          <t>Ҳамкор банк учун банк рейтинги</t>
        </is>
      </c>
      <c r="H22" s="274" t="inlineStr">
        <is>
          <t>Ҳамкор банк учун мумкин бўлган максимал ҳисоб-китоб лимити (банкнинг чет эл валютасидаги умумий активларининг %и)</t>
        </is>
      </c>
      <c r="I22" s="274" t="inlineStr">
        <is>
          <t>Банкнинг чет эл валютасидаги умумий активлар</t>
        </is>
      </c>
      <c r="J22" s="274" t="inlineStr">
        <is>
          <t>Макс. лимит (UZS)</t>
        </is>
      </c>
      <c r="K22" s="274" t="inlineStr">
        <is>
          <t>Макс. лимит (USD)</t>
        </is>
      </c>
      <c r="L22" s="274" t="inlineStr">
        <is>
          <t>Жами лимит</t>
        </is>
      </c>
      <c r="M22" s="274" t="inlineStr">
        <is>
          <t>Check (UZS)</t>
        </is>
      </c>
      <c r="N22" s="274" t="inlineStr">
        <is>
          <t>Check (USD)</t>
        </is>
      </c>
      <c r="O22" s="77" t="n"/>
      <c r="P22" s="41" t="n"/>
      <c r="Q22" s="77" t="n"/>
      <c r="R22" s="77" t="n"/>
      <c r="S22" s="77" t="n"/>
      <c r="T22" s="77" t="n"/>
      <c r="U22" s="77" t="n"/>
      <c r="X22" s="42" t="n"/>
    </row>
    <row r="23">
      <c r="A23" s="49" t="n">
        <v>1</v>
      </c>
      <c r="B23" s="27" t="inlineStr">
        <is>
          <t>Россия</t>
        </is>
      </c>
      <c r="C23" s="49" t="inlineStr">
        <is>
          <t>Asia Invest bank</t>
        </is>
      </c>
      <c r="D23" s="148" t="inlineStr">
        <is>
          <t>BB+, BB, BB-</t>
        </is>
      </c>
      <c r="E23" s="148" t="n"/>
      <c r="F23" s="148" t="n"/>
      <c r="G23" s="70" t="inlineStr">
        <is>
          <t>B</t>
        </is>
      </c>
      <c r="H23" s="59">
        <f>+VLOOKUP(G23,$T$9:$V$15,3,0)</f>
        <v/>
      </c>
      <c r="I23" s="48">
        <f>+$H$9</f>
        <v/>
      </c>
      <c r="J23" s="48">
        <f>+I23*H23</f>
        <v/>
      </c>
      <c r="K23" s="48">
        <f>+J23/$C$4</f>
        <v/>
      </c>
      <c r="L23" s="48">
        <f>+K23</f>
        <v/>
      </c>
      <c r="M23" s="152">
        <f>+IF(SUM(J23)&gt;VLOOKUP($B23,$B$9:$I$18,8,0),"False","True")</f>
        <v/>
      </c>
      <c r="N23" s="152">
        <f>+IF(SUM(K23)&gt;VLOOKUP($B23,$B$9:$J$18,9,0),"False","True")</f>
        <v/>
      </c>
      <c r="P23" s="41" t="n"/>
      <c r="Q23" s="29" t="n"/>
      <c r="R23" s="29" t="n"/>
      <c r="S23" s="29" t="n"/>
      <c r="T23" s="29" t="n"/>
      <c r="U23" s="76" t="n"/>
      <c r="X23" s="42" t="n"/>
    </row>
    <row r="24">
      <c r="A24" s="49">
        <f>+A23+1</f>
        <v/>
      </c>
      <c r="B24" s="27" t="inlineStr">
        <is>
          <t>Туркия</t>
        </is>
      </c>
      <c r="C24" s="49" t="inlineStr">
        <is>
          <t>AKTIF YATIRIM BANKASI</t>
        </is>
      </c>
      <c r="D24" s="148" t="n"/>
      <c r="E24" s="148" t="n"/>
      <c r="F24" s="148" t="n"/>
      <c r="G24" s="70" t="inlineStr">
        <is>
          <t>C</t>
        </is>
      </c>
      <c r="H24" s="59">
        <f>+VLOOKUP(G24,$T$9:$V$15,3,0)</f>
        <v/>
      </c>
      <c r="I24" s="48">
        <f>+$H$9</f>
        <v/>
      </c>
      <c r="J24" s="48">
        <f>+I24*H24</f>
        <v/>
      </c>
      <c r="K24" s="48">
        <f>+J24/$C$4</f>
        <v/>
      </c>
      <c r="L24" s="48">
        <f>+K24</f>
        <v/>
      </c>
      <c r="M24" s="152">
        <f>+IF(SUM(J24)&gt;VLOOKUP($B24,$B$9:$I$18,8,0),"False","True")</f>
        <v/>
      </c>
      <c r="N24" s="152">
        <f>+IF(SUM(K24)&gt;VLOOKUP($B24,$B$9:$J$18,9,0),"False","True")</f>
        <v/>
      </c>
      <c r="P24" s="41" t="n"/>
      <c r="Q24" s="29" t="n"/>
      <c r="R24" s="29" t="n"/>
      <c r="S24" s="29" t="n"/>
      <c r="T24" s="29" t="n"/>
      <c r="U24" s="76" t="n"/>
      <c r="X24" s="42" t="n"/>
    </row>
    <row r="25">
      <c r="A25" s="49">
        <f>+A24+1</f>
        <v/>
      </c>
      <c r="B25" s="27" t="inlineStr">
        <is>
          <t>Germaniya</t>
        </is>
      </c>
      <c r="C25" s="49" t="inlineStr">
        <is>
          <t>ODDO BHF SE</t>
        </is>
      </c>
      <c r="D25" s="148" t="n"/>
      <c r="E25" s="148" t="n"/>
      <c r="F25" s="148" t="inlineStr">
        <is>
          <t>BBB+, BBB, BBB-</t>
        </is>
      </c>
      <c r="G25" s="70" t="inlineStr">
        <is>
          <t>B+</t>
        </is>
      </c>
      <c r="H25" s="59">
        <f>+VLOOKUP(G25,$T$9:$V$15,3,0)</f>
        <v/>
      </c>
      <c r="I25" s="48">
        <f>+$H$9</f>
        <v/>
      </c>
      <c r="J25" s="48">
        <f>+I25*H25</f>
        <v/>
      </c>
      <c r="K25" s="48">
        <f>+J25/$C$4</f>
        <v/>
      </c>
      <c r="L25" s="48">
        <f>+K25</f>
        <v/>
      </c>
      <c r="M25" s="152">
        <f>+IF(SUM(J25)&gt;VLOOKUP($B25,$B$9:$I$18,8,0),"False","True")</f>
        <v/>
      </c>
      <c r="N25" s="152">
        <f>+IF(SUM(K25)&gt;VLOOKUP($B25,$B$9:$J$18,9,0),"False","True")</f>
        <v/>
      </c>
      <c r="P25" s="41" t="n"/>
      <c r="Q25" s="29" t="n"/>
      <c r="R25" s="29" t="n"/>
      <c r="S25" s="29" t="n"/>
      <c r="T25" s="29" t="n"/>
      <c r="U25" s="76" t="n"/>
      <c r="X25" s="42" t="n"/>
    </row>
    <row r="26">
      <c r="A26" s="49">
        <f>+A25+1</f>
        <v/>
      </c>
      <c r="B26" s="27" t="inlineStr">
        <is>
          <t>AQSH</t>
        </is>
      </c>
      <c r="C26" s="49" t="inlineStr">
        <is>
          <t xml:space="preserve">Bank of New York </t>
        </is>
      </c>
      <c r="D26" s="148" t="inlineStr">
        <is>
          <t>AA, AA-</t>
        </is>
      </c>
      <c r="E26" s="148" t="inlineStr">
        <is>
          <t>Aaa, Aa1</t>
        </is>
      </c>
      <c r="F26" s="148" t="inlineStr">
        <is>
          <t>AAA, AA+</t>
        </is>
      </c>
      <c r="G26" s="70" t="inlineStr">
        <is>
          <t>A</t>
        </is>
      </c>
      <c r="H26" s="59">
        <f>+VLOOKUP(G26,$T$9:$V$15,3,0)</f>
        <v/>
      </c>
      <c r="I26" s="48">
        <f>+$H$9</f>
        <v/>
      </c>
      <c r="J26" s="48">
        <f>+I26*H26</f>
        <v/>
      </c>
      <c r="K26" s="48">
        <f>+J26/$C$4</f>
        <v/>
      </c>
      <c r="L26" s="48">
        <f>+K26</f>
        <v/>
      </c>
      <c r="M26" s="152">
        <f>+IF(SUM(J26)&gt;VLOOKUP($B26,$B$9:$I$18,8,0),"False","True")</f>
        <v/>
      </c>
      <c r="N26" s="152">
        <f>+IF(SUM(K26)&gt;VLOOKUP($B26,$B$9:$J$18,9,0),"False","True")</f>
        <v/>
      </c>
      <c r="P26" s="41" t="n"/>
      <c r="Q26" s="29" t="n"/>
      <c r="R26" s="29" t="n"/>
      <c r="S26" s="29" t="n"/>
      <c r="T26" s="29" t="n"/>
      <c r="U26" s="76" t="n"/>
      <c r="X26" s="42" t="n"/>
    </row>
    <row r="27">
      <c r="A27" s="49">
        <f>+A26+1</f>
        <v/>
      </c>
      <c r="B27" s="27" t="n"/>
      <c r="C27" s="49" t="n"/>
      <c r="D27" s="148" t="n"/>
      <c r="E27" s="148" t="n"/>
      <c r="F27" s="148" t="n"/>
      <c r="G27" s="70" t="n"/>
      <c r="H27" s="59" t="n"/>
      <c r="I27" s="48" t="n"/>
      <c r="J27" s="48" t="n"/>
      <c r="K27" s="48" t="n"/>
      <c r="L27" s="48" t="n"/>
      <c r="M27" s="49" t="n"/>
      <c r="N27" s="49" t="n"/>
      <c r="P27" s="41" t="n"/>
      <c r="Q27" s="29" t="n"/>
      <c r="R27" s="29" t="n"/>
      <c r="S27" s="29" t="n"/>
      <c r="T27" s="29" t="n"/>
      <c r="X27" s="42" t="n"/>
    </row>
    <row r="28">
      <c r="A28" s="49">
        <f>+A27+1</f>
        <v/>
      </c>
      <c r="B28" s="27" t="n"/>
      <c r="C28" s="49" t="n"/>
      <c r="D28" s="148" t="n"/>
      <c r="E28" s="148" t="n"/>
      <c r="F28" s="148" t="n"/>
      <c r="G28" s="70" t="n"/>
      <c r="H28" s="59" t="n"/>
      <c r="I28" s="48" t="n"/>
      <c r="J28" s="48" t="n"/>
      <c r="K28" s="48" t="n"/>
      <c r="L28" s="48" t="n"/>
      <c r="M28" s="49" t="n"/>
      <c r="N28" s="49" t="n"/>
      <c r="P28" s="41" t="n"/>
      <c r="Q28" s="29" t="n"/>
      <c r="R28" s="29" t="n"/>
      <c r="S28" s="29" t="n"/>
      <c r="T28" s="29" t="n"/>
      <c r="X28" s="42" t="n"/>
    </row>
    <row r="29">
      <c r="A29" s="49" t="n">
        <v>7</v>
      </c>
      <c r="B29" s="27" t="n"/>
      <c r="C29" s="49" t="n"/>
      <c r="D29" s="148" t="n"/>
      <c r="E29" s="148" t="n"/>
      <c r="F29" s="148" t="n"/>
      <c r="G29" s="70" t="n"/>
      <c r="H29" s="59" t="n"/>
      <c r="I29" s="48" t="n"/>
      <c r="J29" s="48" t="n"/>
      <c r="K29" s="48" t="n"/>
      <c r="L29" s="48" t="n"/>
      <c r="M29" s="49" t="n"/>
      <c r="N29" s="49" t="n"/>
      <c r="P29" s="41" t="n"/>
      <c r="Q29" s="29" t="n"/>
      <c r="R29" s="29" t="n"/>
      <c r="S29" s="29" t="n"/>
      <c r="T29" s="29" t="n"/>
      <c r="X29" s="42" t="n"/>
    </row>
    <row r="30">
      <c r="A30" s="49" t="n">
        <v>8</v>
      </c>
      <c r="B30" s="27" t="n"/>
      <c r="C30" s="49" t="n"/>
      <c r="D30" s="148" t="n"/>
      <c r="E30" s="148" t="n"/>
      <c r="F30" s="148" t="n"/>
      <c r="G30" s="78" t="n"/>
      <c r="H30" s="59" t="n"/>
      <c r="I30" s="48" t="n"/>
      <c r="J30" s="48" t="n"/>
      <c r="K30" s="48" t="n"/>
      <c r="L30" s="48" t="n"/>
      <c r="M30" s="49" t="n"/>
      <c r="N30" s="49" t="n"/>
      <c r="P30" s="41" t="n"/>
      <c r="Q30" s="29" t="n"/>
      <c r="R30" s="29" t="n"/>
      <c r="S30" s="29" t="n"/>
      <c r="T30" s="29" t="n"/>
      <c r="X30" s="42" t="n"/>
    </row>
    <row r="31">
      <c r="A31" s="49" t="n">
        <v>9</v>
      </c>
      <c r="B31" s="27" t="n"/>
      <c r="C31" s="49" t="n"/>
      <c r="D31" s="148" t="n"/>
      <c r="E31" s="148" t="n"/>
      <c r="F31" s="148" t="n"/>
      <c r="G31" s="78" t="n"/>
      <c r="H31" s="59" t="n"/>
      <c r="I31" s="48" t="n"/>
      <c r="J31" s="48" t="n"/>
      <c r="K31" s="48" t="n"/>
      <c r="L31" s="48" t="n"/>
      <c r="M31" s="49" t="n"/>
      <c r="N31" s="49" t="n"/>
      <c r="P31" s="41" t="n"/>
      <c r="Q31" s="29" t="n"/>
      <c r="R31" s="29" t="n"/>
      <c r="S31" s="29" t="n"/>
      <c r="T31" s="29" t="n"/>
      <c r="X31" s="42" t="n"/>
    </row>
    <row r="32">
      <c r="A32" s="49" t="n">
        <v>10</v>
      </c>
      <c r="B32" s="27" t="n"/>
      <c r="C32" s="49" t="n"/>
      <c r="D32" s="148" t="n"/>
      <c r="E32" s="148" t="n"/>
      <c r="F32" s="148" t="n"/>
      <c r="G32" s="78" t="n"/>
      <c r="H32" s="59" t="n"/>
      <c r="I32" s="48" t="n"/>
      <c r="J32" s="48" t="n"/>
      <c r="K32" s="48" t="n"/>
      <c r="L32" s="48" t="n"/>
      <c r="M32" s="49" t="n"/>
      <c r="N32" s="49" t="n"/>
      <c r="P32" s="41" t="n"/>
      <c r="Q32" s="29" t="n"/>
      <c r="R32" s="29" t="n"/>
      <c r="S32" s="29" t="n"/>
      <c r="T32" s="29" t="n"/>
      <c r="X32" s="42" t="n"/>
    </row>
    <row r="33">
      <c r="P33" s="41" t="n"/>
      <c r="Q33" s="29" t="n"/>
      <c r="R33" s="29" t="n"/>
      <c r="S33" s="29" t="n"/>
      <c r="T33" s="29" t="n"/>
      <c r="X33" s="42" t="n"/>
    </row>
    <row r="34">
      <c r="J34" s="50" t="n">
        <v>0.2</v>
      </c>
      <c r="P34" s="31" t="n"/>
      <c r="Q34" s="25" t="n"/>
      <c r="R34" s="25" t="n"/>
      <c r="S34" s="25" t="n"/>
      <c r="T34" s="25" t="n"/>
      <c r="X34" s="42" t="n"/>
    </row>
    <row r="35" ht="12.75" customHeight="1">
      <c r="A35" s="273" t="inlineStr">
        <is>
          <t>Ҳамкор банкни молиявий кўрсаткичлари</t>
        </is>
      </c>
      <c r="B35" s="297" t="n"/>
      <c r="C35" s="297" t="n"/>
      <c r="D35" s="297" t="n"/>
      <c r="E35" s="297" t="n"/>
      <c r="F35" s="297" t="n"/>
      <c r="G35" s="297" t="n"/>
      <c r="H35" s="297" t="n"/>
      <c r="I35" s="297" t="n"/>
      <c r="J35" s="297" t="n"/>
      <c r="K35" s="298" t="n"/>
      <c r="L35" s="157" t="n"/>
      <c r="P35" s="31" t="n"/>
      <c r="Q35" s="25" t="n"/>
      <c r="R35" s="25" t="n"/>
      <c r="S35" s="25" t="n"/>
      <c r="T35" s="25" t="n"/>
      <c r="X35" s="42" t="n"/>
    </row>
    <row r="36" ht="48.75" customHeight="1">
      <c r="A36" s="56" t="inlineStr">
        <is>
          <t>№</t>
        </is>
      </c>
      <c r="B36" s="274" t="inlineStr">
        <is>
          <t>Банк номи</t>
        </is>
      </c>
      <c r="C36" s="273" t="inlineStr">
        <is>
          <t>Капиталнинг етарлилик даражаси (CAR)</t>
        </is>
      </c>
      <c r="D36" s="273" t="inlineStr">
        <is>
          <t>Капитал рентабеллик даражаси (ROE)</t>
        </is>
      </c>
      <c r="E36" s="273" t="inlineStr">
        <is>
          <t>Активларнинг рентабеллик даражаси (ROA)</t>
        </is>
      </c>
      <c r="F36" s="273" t="inlineStr">
        <is>
          <t>Ликвидликни қоплаш меъёри (LCR)</t>
        </is>
      </c>
      <c r="G36" s="273" t="inlineStr">
        <is>
          <t>Соф барқарор молиялаштириш меъёри (NSFR)</t>
        </is>
      </c>
      <c r="H36" s="273" t="inlineStr">
        <is>
          <t xml:space="preserve">Банк капитали </t>
        </is>
      </c>
      <c r="I36" s="273" t="inlineStr">
        <is>
          <t>Valyutasi</t>
        </is>
      </c>
      <c r="J36" s="273" t="inlineStr">
        <is>
          <t>Банк капитали USD</t>
        </is>
      </c>
      <c r="K36" s="273" t="inlineStr">
        <is>
          <t>Капиталнинг 20%и</t>
        </is>
      </c>
      <c r="L36" s="33" t="n"/>
      <c r="P36" s="31" t="n"/>
      <c r="Q36" s="25" t="n"/>
      <c r="R36" s="25" t="n"/>
      <c r="S36" s="25" t="n"/>
      <c r="T36" s="25" t="n"/>
      <c r="X36" s="42" t="n"/>
    </row>
    <row r="37">
      <c r="A37" s="49" t="n">
        <v>1</v>
      </c>
      <c r="B37" s="49" t="inlineStr">
        <is>
          <t>Asia Invest bank</t>
        </is>
      </c>
      <c r="C37" s="147" t="n">
        <v>0.57567</v>
      </c>
      <c r="D37" s="147" t="n">
        <v>0.915</v>
      </c>
      <c r="E37" s="147" t="n">
        <v>0.223</v>
      </c>
      <c r="F37" s="147" t="n">
        <v>1.35489</v>
      </c>
      <c r="G37" s="240" t="n"/>
      <c r="H37" s="149" t="n">
        <v>14112764000</v>
      </c>
      <c r="I37" s="148" t="inlineStr">
        <is>
          <t>RUB</t>
        </is>
      </c>
      <c r="J37" s="60">
        <f>+IF($I37=$C$3,$H37,IF($I37=$D$3,$H37*$D$4/$C$4,IF($I37=$E$3,$H37*$E$4/$C$4,IF($I37=$F$3,$H37*$F$4/$C$4,IF($I37=$G$3,$H37*$G$4/$C$4,0)))))</f>
        <v/>
      </c>
      <c r="K37" s="52">
        <f>+J37*$J$34</f>
        <v/>
      </c>
      <c r="M37" s="53" t="n"/>
      <c r="N37" s="55" t="n"/>
      <c r="O37" s="55" t="n"/>
      <c r="P37" s="31" t="n"/>
      <c r="Q37" s="25" t="n"/>
      <c r="R37" s="25" t="n"/>
      <c r="S37" s="25" t="n"/>
      <c r="T37" s="25" t="n"/>
      <c r="X37" s="42" t="n"/>
    </row>
    <row r="38">
      <c r="A38" s="49">
        <f>+A37+1</f>
        <v/>
      </c>
      <c r="B38" s="49" t="inlineStr">
        <is>
          <t>AKTIF YATIRIM BANKASI</t>
        </is>
      </c>
      <c r="C38" s="147" t="n">
        <v>0.2052</v>
      </c>
      <c r="D38" s="147" t="n">
        <v>0.4116</v>
      </c>
      <c r="E38" s="147" t="n">
        <v>0.048</v>
      </c>
      <c r="F38" s="147" t="n">
        <v>1.0138</v>
      </c>
      <c r="G38" s="147" t="n">
        <v>0.7514999999999999</v>
      </c>
      <c r="H38" s="149" t="n">
        <v>12070498000</v>
      </c>
      <c r="I38" s="148" t="inlineStr">
        <is>
          <t>TRY</t>
        </is>
      </c>
      <c r="J38" s="60">
        <f>+IF($I38=$C$3,$H38,IF($I38=$D$3,$H38*$D$4/$C$4,IF($I38=$E$3,$H38*$E$4/$C$4,IF($I38=$F$3,$H38*$F$4/$C$4,IF($I38=$G$3,$H38*$G$4/$C$4,0)))))</f>
        <v/>
      </c>
      <c r="K38" s="52">
        <f>+J38*$J$34</f>
        <v/>
      </c>
      <c r="M38" s="53" t="n"/>
      <c r="P38" s="31" t="n"/>
      <c r="Q38" s="25" t="n"/>
      <c r="R38" s="25" t="n"/>
      <c r="S38" s="25" t="n"/>
      <c r="T38" s="25" t="n"/>
      <c r="X38" s="42" t="n"/>
    </row>
    <row r="39">
      <c r="A39" s="49">
        <f>+A38+1</f>
        <v/>
      </c>
      <c r="B39" s="49" t="inlineStr">
        <is>
          <t>ODDO BHF SE</t>
        </is>
      </c>
      <c r="C39" s="147" t="n">
        <v>0.222</v>
      </c>
      <c r="D39" s="147" t="n">
        <v>0.1054</v>
      </c>
      <c r="E39" s="147" t="n">
        <v>0.0068</v>
      </c>
      <c r="F39" s="147" t="n">
        <v>2.0785</v>
      </c>
      <c r="G39" s="147" t="n">
        <v>2.3854</v>
      </c>
      <c r="H39" s="149" t="n">
        <v>652000000</v>
      </c>
      <c r="I39" s="148" t="inlineStr">
        <is>
          <t>EUR</t>
        </is>
      </c>
      <c r="J39" s="60">
        <f>+IF($I39=$C$3,$H39,IF($I39=$D$3,$H39*$D$4/$C$4,IF($I39=$E$3,$H39*$E$4/$C$4,IF($I39=$F$3,$H39*$F$4/$C$4,IF($I39=$G$3,$H39*$G$4/$C$4,0)))))</f>
        <v/>
      </c>
      <c r="K39" s="52">
        <f>+J39*$J$34</f>
        <v/>
      </c>
      <c r="M39" s="53" t="n"/>
      <c r="P39" s="31" t="n"/>
      <c r="Q39" s="25" t="n"/>
      <c r="R39" s="25" t="n"/>
      <c r="S39" s="25" t="n"/>
      <c r="T39" s="25" t="n"/>
      <c r="X39" s="42" t="n"/>
    </row>
    <row r="40">
      <c r="A40" s="49">
        <f>+A39+1</f>
        <v/>
      </c>
      <c r="B40" s="49" t="inlineStr">
        <is>
          <t xml:space="preserve">Bank of New York </t>
        </is>
      </c>
      <c r="C40" s="147" t="n">
        <v>0.161</v>
      </c>
      <c r="D40" s="147" t="n">
        <v>0.119</v>
      </c>
      <c r="E40" s="147" t="n">
        <v>0.01043224123832058</v>
      </c>
      <c r="F40" s="147" t="n">
        <v>1.15</v>
      </c>
      <c r="G40" s="147" t="n">
        <v>1.32</v>
      </c>
      <c r="H40" s="149" t="n">
        <v>41318000000</v>
      </c>
      <c r="I40" s="148" t="inlineStr">
        <is>
          <t>USD</t>
        </is>
      </c>
      <c r="J40" s="60">
        <f>+IF($I40=$C$3,$H40,IF($I40=$D$3,$H40*$D$4/$C$4,IF($I40=$E$3,$H40*$E$4/$C$4,IF($I40=$F$3,$H40*$F$4/$C$4,IF($I40=$G$3,$H40*$G$4/$C$4,0)))))</f>
        <v/>
      </c>
      <c r="K40" s="52">
        <f>+J40*$J$34</f>
        <v/>
      </c>
      <c r="M40" s="53" t="n"/>
      <c r="P40" s="31" t="n"/>
      <c r="Q40" s="57" t="inlineStr">
        <is>
          <t>Балл</t>
        </is>
      </c>
      <c r="R40" s="57" t="inlineStr">
        <is>
          <t>%</t>
        </is>
      </c>
      <c r="S40" s="25" t="n"/>
      <c r="T40" s="25" t="n"/>
      <c r="X40" s="42" t="n"/>
    </row>
    <row r="41">
      <c r="A41" s="49" t="n">
        <v>5</v>
      </c>
      <c r="B41" s="49" t="n"/>
      <c r="C41" s="147" t="n"/>
      <c r="D41" s="147" t="n"/>
      <c r="E41" s="147" t="n"/>
      <c r="F41" s="147" t="n"/>
      <c r="G41" s="147" t="n"/>
      <c r="H41" s="149" t="n"/>
      <c r="I41" s="148" t="n"/>
      <c r="J41" s="60" t="n"/>
      <c r="K41" s="52" t="n"/>
      <c r="M41" s="53" t="n"/>
      <c r="P41" s="31" t="n"/>
      <c r="Q41" s="49" t="n">
        <v>120</v>
      </c>
      <c r="R41" s="62" t="n">
        <v>1</v>
      </c>
      <c r="S41" s="238" t="inlineStr">
        <is>
          <t>120-125</t>
        </is>
      </c>
      <c r="T41" s="25" t="n"/>
      <c r="X41" s="42" t="n"/>
    </row>
    <row r="42">
      <c r="A42" s="49" t="n">
        <v>6</v>
      </c>
      <c r="B42" s="49" t="n"/>
      <c r="C42" s="147" t="n"/>
      <c r="D42" s="147" t="n"/>
      <c r="E42" s="147" t="n"/>
      <c r="F42" s="147" t="n"/>
      <c r="G42" s="147" t="n"/>
      <c r="H42" s="149" t="n"/>
      <c r="I42" s="148" t="n"/>
      <c r="J42" s="60" t="n"/>
      <c r="K42" s="52" t="n"/>
      <c r="M42" s="53" t="n"/>
      <c r="P42" s="31" t="n"/>
      <c r="Q42" s="49" t="n">
        <v>100</v>
      </c>
      <c r="R42" s="62" t="n">
        <v>0.8</v>
      </c>
      <c r="S42" s="238" t="inlineStr">
        <is>
          <t>100-119</t>
        </is>
      </c>
      <c r="T42" s="25" t="n"/>
      <c r="X42" s="42" t="n"/>
    </row>
    <row r="43">
      <c r="A43" s="49" t="n">
        <v>7</v>
      </c>
      <c r="B43" s="49" t="n"/>
      <c r="C43" s="147" t="n"/>
      <c r="D43" s="147" t="n"/>
      <c r="E43" s="147" t="n"/>
      <c r="F43" s="147" t="n"/>
      <c r="G43" s="147" t="n"/>
      <c r="H43" s="149" t="n"/>
      <c r="I43" s="148" t="n"/>
      <c r="J43" s="60" t="n"/>
      <c r="K43" s="52" t="n"/>
      <c r="M43" s="53" t="n"/>
      <c r="P43" s="31" t="n"/>
      <c r="Q43" s="49" t="n">
        <v>80</v>
      </c>
      <c r="R43" s="62" t="n">
        <v>0.6</v>
      </c>
      <c r="S43" s="238" t="inlineStr">
        <is>
          <t>80-99</t>
        </is>
      </c>
      <c r="T43" s="25" t="n"/>
      <c r="X43" s="42" t="n"/>
    </row>
    <row r="44">
      <c r="A44" s="49" t="n">
        <v>8</v>
      </c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P44" s="31" t="n"/>
      <c r="Q44" s="49" t="n">
        <v>60</v>
      </c>
      <c r="R44" s="62" t="n">
        <v>0.4</v>
      </c>
      <c r="S44" s="238" t="inlineStr">
        <is>
          <t>60-79</t>
        </is>
      </c>
      <c r="T44" s="25" t="n"/>
      <c r="X44" s="42" t="n"/>
    </row>
    <row r="45">
      <c r="A45" s="49" t="n">
        <v>9</v>
      </c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P45" s="31" t="n"/>
      <c r="Q45" s="49" t="n">
        <v>40</v>
      </c>
      <c r="R45" s="62" t="n">
        <v>0.2</v>
      </c>
      <c r="S45" s="238" t="inlineStr">
        <is>
          <t>40-59</t>
        </is>
      </c>
      <c r="T45" s="25" t="n"/>
      <c r="X45" s="42" t="n"/>
    </row>
    <row r="46">
      <c r="A46" s="49" t="n">
        <v>10</v>
      </c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P46" s="31" t="n"/>
      <c r="Q46" s="49" t="n">
        <v>20</v>
      </c>
      <c r="R46" s="62" t="n">
        <v>0.1</v>
      </c>
      <c r="S46" s="238" t="inlineStr">
        <is>
          <t>20-39</t>
        </is>
      </c>
      <c r="T46" s="25" t="n"/>
      <c r="X46" s="42" t="n"/>
    </row>
    <row r="47">
      <c r="P47" s="31" t="n"/>
      <c r="Q47" s="49" t="inlineStr">
        <is>
          <t>&lt;20</t>
        </is>
      </c>
      <c r="R47" s="62" t="n">
        <v>0</v>
      </c>
      <c r="S47" s="238" t="inlineStr">
        <is>
          <t>0-19</t>
        </is>
      </c>
      <c r="T47" s="25" t="n"/>
      <c r="X47" s="42" t="n"/>
    </row>
    <row r="48">
      <c r="P48" s="31" t="n"/>
      <c r="Q48" s="25" t="n"/>
      <c r="R48" s="25" t="n"/>
      <c r="S48" s="25" t="n"/>
      <c r="T48" s="25" t="n"/>
      <c r="X48" s="42" t="n"/>
    </row>
    <row r="49" ht="12.75" customHeight="1">
      <c r="A49" s="273" t="inlineStr">
        <is>
          <t>Молиявий кўрсаткичлар асосида баҳолаш</t>
        </is>
      </c>
      <c r="B49" s="297" t="n"/>
      <c r="C49" s="297" t="n"/>
      <c r="D49" s="297" t="n"/>
      <c r="E49" s="297" t="n"/>
      <c r="F49" s="297" t="n"/>
      <c r="G49" s="297" t="n"/>
      <c r="H49" s="297" t="n"/>
      <c r="I49" s="297" t="n"/>
      <c r="J49" s="297" t="n"/>
      <c r="K49" s="297" t="n"/>
      <c r="L49" s="298" t="n"/>
      <c r="M49" s="157" t="n"/>
      <c r="P49" s="31" t="n"/>
      <c r="Q49" s="25" t="n"/>
      <c r="R49" s="25" t="n"/>
      <c r="S49" s="25" t="n"/>
      <c r="T49" s="25" t="n"/>
      <c r="X49" s="42" t="n"/>
    </row>
    <row r="50" ht="60" customHeight="1">
      <c r="A50" s="56" t="inlineStr">
        <is>
          <t>№</t>
        </is>
      </c>
      <c r="B50" s="274" t="inlineStr">
        <is>
          <t>Банк номи</t>
        </is>
      </c>
      <c r="C50" s="273" t="inlineStr">
        <is>
          <t>Капиталнинг етарлилик даражаси (CAR)</t>
        </is>
      </c>
      <c r="D50" s="273" t="inlineStr">
        <is>
          <t>Капитал рентабеллик даражаси (ROE)</t>
        </is>
      </c>
      <c r="E50" s="273" t="inlineStr">
        <is>
          <t>Активларнинг рентабеллик даражаси (ROA)</t>
        </is>
      </c>
      <c r="F50" s="273" t="inlineStr">
        <is>
          <t>Ликвидликни қоплаш меъёри (LCR)</t>
        </is>
      </c>
      <c r="G50" s="273" t="inlineStr">
        <is>
          <t>Соф барқарор молиялаштириш меъёри (NSFR)</t>
        </is>
      </c>
      <c r="H50" s="273" t="inlineStr">
        <is>
          <t>Жами балл</t>
        </is>
      </c>
      <c r="I50" s="56" t="inlineStr">
        <is>
          <t>%</t>
        </is>
      </c>
      <c r="J50" s="273" t="inlineStr">
        <is>
          <t>Молиявий кўрсаткичлар бўйича лимит</t>
        </is>
      </c>
      <c r="K50" s="273" t="inlineStr">
        <is>
          <t>Ҳамкор банк рейтинги бўйича лимит</t>
        </is>
      </c>
      <c r="L50" s="273" t="inlineStr">
        <is>
          <t>Якуний лимит</t>
        </is>
      </c>
      <c r="P50" s="41" t="n"/>
      <c r="Q50" s="30" t="inlineStr">
        <is>
          <t>Kapitalning yetarlilik darajasi (CAR)</t>
        </is>
      </c>
      <c r="R50" s="30" t="inlineStr">
        <is>
          <t>Kapital rentabellik darajasi (ROE)</t>
        </is>
      </c>
      <c r="S50" s="30" t="inlineStr">
        <is>
          <t>Aktivlarning rentabellik darajasi (ROA)</t>
        </is>
      </c>
      <c r="T50" s="30" t="inlineStr">
        <is>
          <t>Likvidlikni qoplash meʼyori (LCR)</t>
        </is>
      </c>
      <c r="U50" s="30" t="inlineStr">
        <is>
          <t>Sof barqaror moliyalashtirish meʼyori (NSFR)</t>
        </is>
      </c>
      <c r="V50" s="57" t="inlineStr">
        <is>
          <t>Ball</t>
        </is>
      </c>
      <c r="X50" s="42" t="n"/>
    </row>
    <row r="51">
      <c r="A51" s="49" t="n">
        <v>1</v>
      </c>
      <c r="B51" s="49" t="inlineStr">
        <is>
          <t>Asia Invest bank</t>
        </is>
      </c>
      <c r="C51" s="49">
        <f>+IF(C37&gt;=Q$51,$V$51,IF(C37&gt;=Q$52,$V$52,IF(C37&gt;=Q$53,$V$53,IF(C37&gt;=Q$54,$V$54,IF(C37&gt;=Q$55,$V$55,IF(C5&lt;Q$56,$V$56,0))))))</f>
        <v/>
      </c>
      <c r="D51" s="49">
        <f>+IF(D37&gt;=R$51,$V$51,IF(D37&gt;=R$52,$V$52,IF(D37&gt;=R$53,$V$53,IF(D37&gt;=R$54,$V$54,IF(D37&gt;=R$55,$V$55,IF(D5&lt;R$56,$V$56,0))))))</f>
        <v/>
      </c>
      <c r="E51" s="49">
        <f>+IF(E37&gt;=S$51,$V$51,IF(E37&gt;=S$52,$V$52,IF(E37&gt;=S$53,$V$53,IF(E37&gt;=S$54,$V$54,IF(E37&gt;=S$55,$V$55,IF(E5&lt;S$56,$V$56,0))))))</f>
        <v/>
      </c>
      <c r="F51" s="49">
        <f>+IF(F37&gt;=T$51,$V$51,IF(F37&gt;=T$52,$V$52,IF(F37&gt;=T$53,$V$53,IF(F37&gt;=T$54,$V$54,IF(F37&gt;=T$55,$V$55,IF(F5&lt;T$56,$V$56,0))))))</f>
        <v/>
      </c>
      <c r="G51" s="49">
        <f>+IF(G37&gt;=U$51,$V$51,IF(G37&gt;=U$52,$V$52,IF(G37&gt;=U$53,$V$53,IF(G37&gt;=U$54,$V$54,IF(G37&gt;=U$55,$V$55,IF(G5&lt;U$56,$V$56,0))))))</f>
        <v/>
      </c>
      <c r="H51" s="58">
        <f>+SUM(C51:G51)</f>
        <v/>
      </c>
      <c r="I51" s="59">
        <f>IF(H51&gt;=$Q$41,$R$41,IF(H51&gt;=$Q$42,$R$42,IF(H51&gt;=$Q$43,$R$43,IF(H51&gt;=$Q$44,$R$44,IF(H51&gt;=$Q$45,$R$45,IF(H51&gt;=$Q$46,$R$46,IF(H51&lt;$Q$46,$R$47)))))))</f>
        <v/>
      </c>
      <c r="J51" s="60">
        <f>+$I51*VLOOKUP($B51,$B$37:$K$46,10,0)</f>
        <v/>
      </c>
      <c r="K51" s="60">
        <f>+VLOOKUP(B51,$C$23:$K$32,9,0)</f>
        <v/>
      </c>
      <c r="L51" s="60">
        <f>+MIN(J51:K51)</f>
        <v/>
      </c>
      <c r="P51" s="41" t="n"/>
      <c r="Q51" s="59" t="n">
        <v>0.15</v>
      </c>
      <c r="R51" s="59" t="n">
        <v>0.1</v>
      </c>
      <c r="S51" s="59" t="n">
        <v>0.05</v>
      </c>
      <c r="T51" s="59" t="n">
        <v>1.4</v>
      </c>
      <c r="U51" s="59" t="n">
        <v>1.4</v>
      </c>
      <c r="V51" s="49" t="n">
        <v>25</v>
      </c>
      <c r="X51" s="42" t="n"/>
    </row>
    <row r="52">
      <c r="A52" s="49">
        <f>+A51+1</f>
        <v/>
      </c>
      <c r="B52" s="49" t="inlineStr">
        <is>
          <t>AKTIF YATIRIM BANKASI</t>
        </is>
      </c>
      <c r="C52" s="49">
        <f>+IF(C38&gt;=Q$51,$V$51,IF(C38&gt;=Q$52,$V$52,IF(C38&gt;=Q$53,$V$53,IF(C38&gt;=Q$54,$V$54,IF(C38&gt;=Q$55,$V$55,IF(C6&lt;Q$56,$V$56,0))))))</f>
        <v/>
      </c>
      <c r="D52" s="49">
        <f>+IF(D38&gt;=R$51,$V$51,IF(D38&gt;=R$52,$V$52,IF(D38&gt;=R$53,$V$53,IF(D38&gt;=R$54,$V$54,IF(D38&gt;=R$55,$V$55,IF(D6&lt;R$56,$V$56,0))))))</f>
        <v/>
      </c>
      <c r="E52" s="49">
        <f>+IF(E38&gt;=S$51,$V$51,IF(E38&gt;=S$52,$V$52,IF(E38&gt;=S$53,$V$53,IF(E38&gt;=S$54,$V$54,IF(E38&gt;=S$55,$V$55,IF(E6&lt;S$56,$V$56,0))))))</f>
        <v/>
      </c>
      <c r="F52" s="49">
        <f>+IF(F38&gt;=T$51,$V$51,IF(F38&gt;=T$52,$V$52,IF(F38&gt;=T$53,$V$53,IF(F38&gt;=T$54,$V$54,IF(F38&gt;=T$55,$V$55,IF(F6&lt;T$56,$V$56,0))))))</f>
        <v/>
      </c>
      <c r="G52" s="49">
        <f>+IF(G38&gt;=U$51,$V$51,IF(G38&gt;=U$52,$V$52,IF(G38&gt;=U$53,$V$53,IF(G38&gt;=U$54,$V$54,IF(G38&gt;=U$55,$V$55,IF(G6&lt;U$56,$V$56,0))))))</f>
        <v/>
      </c>
      <c r="H52" s="58">
        <f>+SUM(C52:G52)</f>
        <v/>
      </c>
      <c r="I52" s="59">
        <f>IF(H52&gt;=$Q$41,$R$41,IF(H52&gt;=$Q$42,$R$42,IF(H52&gt;=$Q$43,$R$43,IF(H52&gt;=$Q$44,$R$44,IF(H52&gt;=$Q$45,$R$45,IF(H52&gt;=$Q$46,$R$46,IF(H52&lt;$Q$46,$R$47)))))))</f>
        <v/>
      </c>
      <c r="J52" s="60">
        <f>+$I52*VLOOKUP($B52,$B$37:$K$46,10,0)</f>
        <v/>
      </c>
      <c r="K52" s="60">
        <f>+VLOOKUP(B52,$C$23:$K$32,9,0)</f>
        <v/>
      </c>
      <c r="L52" s="60">
        <f>+MIN(J52:K52)</f>
        <v/>
      </c>
      <c r="P52" s="41" t="n"/>
      <c r="Q52" s="59" t="n">
        <v>0.14</v>
      </c>
      <c r="R52" s="59" t="n">
        <v>0.08</v>
      </c>
      <c r="S52" s="59" t="n">
        <v>0.04</v>
      </c>
      <c r="T52" s="59" t="n">
        <v>1.3</v>
      </c>
      <c r="U52" s="59" t="n">
        <v>1.3</v>
      </c>
      <c r="V52" s="49" t="n">
        <v>20</v>
      </c>
      <c r="X52" s="42" t="n"/>
    </row>
    <row r="53">
      <c r="A53" s="49">
        <f>+A52+1</f>
        <v/>
      </c>
      <c r="B53" s="49" t="inlineStr">
        <is>
          <t>ODDO BHF SE</t>
        </is>
      </c>
      <c r="C53" s="49">
        <f>+IF(C39&gt;=Q$51,$V$51,IF(C39&gt;=Q$52,$V$52,IF(C39&gt;=Q$53,$V$53,IF(C39&gt;=Q$54,$V$54,IF(C39&gt;=Q$55,$V$55,IF(C7&lt;Q$56,$V$56,0))))))</f>
        <v/>
      </c>
      <c r="D53" s="49">
        <f>+IF(D39&gt;=R$51,$V$51,IF(D39&gt;=R$52,$V$52,IF(D39&gt;=R$53,$V$53,IF(D39&gt;=R$54,$V$54,IF(D39&gt;=R$55,$V$55,IF(D7&lt;R$56,$V$56,0))))))</f>
        <v/>
      </c>
      <c r="E53" s="49">
        <f>+IF(E39&gt;=S$51,$V$51,IF(E39&gt;=S$52,$V$52,IF(E39&gt;=S$53,$V$53,IF(E39&gt;=S$54,$V$54,IF(E39&gt;=S$55,$V$55,IF(E7&lt;S$56,$V$56,0))))))</f>
        <v/>
      </c>
      <c r="F53" s="49">
        <f>+IF(F39&gt;=T$51,$V$51,IF(F39&gt;=T$52,$V$52,IF(F39&gt;=T$53,$V$53,IF(F39&gt;=T$54,$V$54,IF(F39&gt;=T$55,$V$55,IF(F7&lt;T$56,$V$56,0))))))</f>
        <v/>
      </c>
      <c r="G53" s="49">
        <f>+IF(G39&gt;=U$51,$V$51,IF(G39&gt;=U$52,$V$52,IF(G39&gt;=U$53,$V$53,IF(G39&gt;=U$54,$V$54,IF(G39&gt;=U$55,$V$55,IF(G7&lt;U$56,$V$56,0))))))</f>
        <v/>
      </c>
      <c r="H53" s="58">
        <f>+SUM(C53:G53)</f>
        <v/>
      </c>
      <c r="I53" s="59">
        <f>IF(H53=$Q$41,$R$41,IF(H53&gt;=$Q$42,$R$42,IF(H53&gt;=$Q$43,$R$43,IF(H53&gt;=$Q$44,$R$44,IF(H53&gt;=$Q$45,$R$45,IF(H53&gt;=$Q$46,$R$46,IF(H53&lt;$Q$46,$R$47)))))))</f>
        <v/>
      </c>
      <c r="J53" s="60">
        <f>+$I53*VLOOKUP($B53,$B$37:$K$46,10,0)</f>
        <v/>
      </c>
      <c r="K53" s="60">
        <f>+VLOOKUP(B53,$C$23:$K$32,9,0)</f>
        <v/>
      </c>
      <c r="L53" s="60">
        <f>+MIN(J53:K53)</f>
        <v/>
      </c>
      <c r="P53" s="41" t="n"/>
      <c r="Q53" s="59" t="n">
        <v>0.13</v>
      </c>
      <c r="R53" s="59" t="n">
        <v>0.06</v>
      </c>
      <c r="S53" s="59" t="n">
        <v>0.03</v>
      </c>
      <c r="T53" s="59" t="n">
        <v>1.2</v>
      </c>
      <c r="U53" s="59" t="n">
        <v>1.2</v>
      </c>
      <c r="V53" s="49" t="n">
        <v>15</v>
      </c>
      <c r="X53" s="42" t="n"/>
    </row>
    <row r="54" ht="12.75" customHeight="1">
      <c r="A54" s="49">
        <f>+A53+1</f>
        <v/>
      </c>
      <c r="B54" s="49" t="inlineStr">
        <is>
          <t xml:space="preserve">Bank of New York </t>
        </is>
      </c>
      <c r="C54" s="49">
        <f>+IF(C40&gt;=Q$51,$V$51,IF(C40&gt;=Q$52,$V$52,IF(C40&gt;=Q$53,$V$53,IF(C40&gt;=Q$54,$V$54,IF(C40&gt;=Q$55,$V$55,IF(C8&lt;Q$56,$V$56,0))))))</f>
        <v/>
      </c>
      <c r="D54" s="49">
        <f>+IF(D40&gt;=R$51,$V$51,IF(D40&gt;=R$52,$V$52,IF(D40&gt;=R$53,$V$53,IF(D40&gt;=R$54,$V$54,IF(D40&gt;=R$55,$V$55,IF(D8&lt;R$56,$V$56,0))))))</f>
        <v/>
      </c>
      <c r="E54" s="49">
        <f>+IF(E40&gt;=S$51,$V$51,IF(E40&gt;=S$52,$V$52,IF(E40&gt;=S$53,$V$53,IF(E40&gt;=S$54,$V$54,IF(E40&gt;=S$55,$V$55,IF(E8&lt;S$56,$V$56,0))))))</f>
        <v/>
      </c>
      <c r="F54" s="49">
        <f>+IF(F40&gt;=T$51,$V$51,IF(F40&gt;=T$52,$V$52,IF(F40&gt;=T$53,$V$53,IF(F40&gt;=T$54,$V$54,IF(F40&gt;=T$55,$V$55,IF(F8&lt;T$56,$V$56,0))))))</f>
        <v/>
      </c>
      <c r="G54" s="49">
        <f>+IF(G40&gt;=U$51,$V$51,IF(G40&gt;=U$52,$V$52,IF(G40&gt;=U$53,$V$53,IF(G40&gt;=U$54,$V$54,IF(G40&gt;=U$55,$V$55,IF(G8&lt;U$56,$V$56,0))))))</f>
        <v/>
      </c>
      <c r="H54" s="58">
        <f>+SUM(C54:G54)</f>
        <v/>
      </c>
      <c r="I54" s="59">
        <f>IF(H54=$Q$41,$R$41,IF(H54&gt;=$Q$42,$R$42,IF(H54&gt;=$Q$43,$R$43,IF(H54&gt;=$Q$44,$R$44,IF(H54&gt;=$Q$45,$R$45,IF(H54&gt;=$Q$46,$R$46,IF(H54&lt;$Q$46,$R$47)))))))</f>
        <v/>
      </c>
      <c r="J54" s="60">
        <f>+$I54*VLOOKUP($B54,$B$37:$K$46,10,0)</f>
        <v/>
      </c>
      <c r="K54" s="60">
        <f>+VLOOKUP(B54,$C$23:$K$32,9,0)</f>
        <v/>
      </c>
      <c r="L54" s="60">
        <f>+MIN(J54:K54)</f>
        <v/>
      </c>
      <c r="P54" s="41" t="n"/>
      <c r="Q54" s="59" t="n">
        <v>0.12</v>
      </c>
      <c r="R54" s="59" t="n">
        <v>0.04</v>
      </c>
      <c r="S54" s="59" t="n">
        <v>0.02</v>
      </c>
      <c r="T54" s="59" t="n">
        <v>1.1</v>
      </c>
      <c r="U54" s="59" t="n">
        <v>1.1</v>
      </c>
      <c r="V54" s="49" t="n">
        <v>10</v>
      </c>
      <c r="X54" s="42" t="n"/>
    </row>
    <row r="55">
      <c r="A55" s="49" t="n">
        <v>5</v>
      </c>
      <c r="B55" s="49" t="n"/>
      <c r="C55" s="49" t="n"/>
      <c r="D55" s="49" t="n"/>
      <c r="E55" s="49" t="n"/>
      <c r="F55" s="49" t="n"/>
      <c r="G55" s="49" t="n"/>
      <c r="H55" s="58" t="n"/>
      <c r="I55" s="59" t="n"/>
      <c r="J55" s="60" t="n"/>
      <c r="K55" s="60" t="n"/>
      <c r="L55" s="60" t="n"/>
      <c r="P55" s="41" t="n"/>
      <c r="Q55" s="26" t="n">
        <v>0.11</v>
      </c>
      <c r="R55" s="59" t="n">
        <v>0.02</v>
      </c>
      <c r="S55" s="59" t="n">
        <v>0.01</v>
      </c>
      <c r="T55" s="59" t="n">
        <v>1</v>
      </c>
      <c r="U55" s="59" t="n">
        <v>1</v>
      </c>
      <c r="V55" s="49" t="n">
        <v>5</v>
      </c>
      <c r="X55" s="42" t="n"/>
    </row>
    <row r="56">
      <c r="A56" s="49" t="n">
        <v>6</v>
      </c>
      <c r="B56" s="49" t="n"/>
      <c r="C56" s="49" t="n"/>
      <c r="D56" s="49" t="n"/>
      <c r="E56" s="49" t="n"/>
      <c r="F56" s="49" t="n"/>
      <c r="G56" s="49" t="n"/>
      <c r="H56" s="58" t="n"/>
      <c r="I56" s="59" t="n"/>
      <c r="J56" s="60" t="n"/>
      <c r="K56" s="60" t="n"/>
      <c r="L56" s="60" t="n"/>
      <c r="P56" s="41" t="n"/>
      <c r="Q56" s="61" t="n">
        <v>0.1</v>
      </c>
      <c r="R56" s="49" t="n"/>
      <c r="S56" s="49" t="n"/>
      <c r="T56" s="49" t="n"/>
      <c r="U56" s="49" t="n"/>
      <c r="V56" s="49" t="n">
        <v>0</v>
      </c>
      <c r="X56" s="42" t="n"/>
    </row>
    <row r="57">
      <c r="A57" s="49" t="n">
        <v>7</v>
      </c>
      <c r="B57" s="49" t="n"/>
      <c r="C57" s="49" t="n"/>
      <c r="D57" s="49" t="n"/>
      <c r="E57" s="49" t="n"/>
      <c r="F57" s="49" t="n"/>
      <c r="G57" s="49" t="n"/>
      <c r="H57" s="58" t="n"/>
      <c r="I57" s="59" t="n"/>
      <c r="J57" s="60" t="n"/>
      <c r="K57" s="60" t="n"/>
      <c r="L57" s="60" t="n"/>
      <c r="P57" s="41" t="n"/>
      <c r="V57" s="33" t="n"/>
      <c r="X57" s="42" t="n"/>
    </row>
    <row r="58">
      <c r="A58" s="49" t="n">
        <v>8</v>
      </c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P58" s="41" t="n"/>
      <c r="V58" s="33" t="n"/>
      <c r="X58" s="42" t="n"/>
    </row>
    <row r="59">
      <c r="A59" s="49" t="n">
        <v>9</v>
      </c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P59" s="41" t="n"/>
      <c r="Q59" s="159" t="n"/>
      <c r="R59" s="159" t="n"/>
      <c r="S59" s="159" t="n"/>
      <c r="T59" s="159" t="n"/>
      <c r="U59" s="159" t="n"/>
      <c r="V59" s="159" t="n"/>
      <c r="X59" s="42" t="n"/>
    </row>
    <row r="60">
      <c r="A60" s="49" t="n">
        <v>10</v>
      </c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P60" s="41" t="n"/>
      <c r="X60" s="42" t="n"/>
    </row>
    <row r="61" ht="13.5" customHeight="1" thickBot="1">
      <c r="P61" s="63" t="n"/>
      <c r="Q61" s="64" t="n"/>
      <c r="R61" s="64" t="n"/>
      <c r="S61" s="64" t="n"/>
      <c r="T61" s="64" t="n"/>
      <c r="U61" s="64" t="n"/>
      <c r="V61" s="64" t="n"/>
      <c r="W61" s="64" t="n"/>
      <c r="X61" s="65" t="n"/>
    </row>
    <row r="66">
      <c r="C66" s="155" t="n"/>
    </row>
    <row r="67">
      <c r="C67" s="155" t="n"/>
    </row>
  </sheetData>
  <mergeCells count="14">
    <mergeCell ref="A35:K35"/>
    <mergeCell ref="A49:L49"/>
    <mergeCell ref="I7:I8"/>
    <mergeCell ref="V7:V8"/>
    <mergeCell ref="A7:A8"/>
    <mergeCell ref="J7:J8"/>
    <mergeCell ref="F7:F8"/>
    <mergeCell ref="B7:B8"/>
    <mergeCell ref="Q7:S7"/>
    <mergeCell ref="T7:T8"/>
    <mergeCell ref="U7:U8"/>
    <mergeCell ref="C7:E7"/>
    <mergeCell ref="G7:G8"/>
    <mergeCell ref="H7:H8"/>
  </mergeCells>
  <conditionalFormatting sqref="M23:M25">
    <cfRule type="cellIs" priority="29" operator="equal" dxfId="0">
      <formula>$M$21</formula>
    </cfRule>
  </conditionalFormatting>
  <conditionalFormatting sqref="O23:O26">
    <cfRule type="cellIs" priority="27" operator="equal" dxfId="0">
      <formula>$M$21</formula>
    </cfRule>
  </conditionalFormatting>
  <conditionalFormatting sqref="M27">
    <cfRule type="cellIs" priority="25" operator="equal" dxfId="0">
      <formula>$M$21</formula>
    </cfRule>
  </conditionalFormatting>
  <conditionalFormatting sqref="N27:O27">
    <cfRule type="cellIs" priority="23" operator="equal" dxfId="0">
      <formula>$M$21</formula>
    </cfRule>
  </conditionalFormatting>
  <conditionalFormatting sqref="M28:M32">
    <cfRule type="cellIs" priority="21" operator="equal" dxfId="0">
      <formula>$M$21</formula>
    </cfRule>
  </conditionalFormatting>
  <conditionalFormatting sqref="N28:O32">
    <cfRule type="cellIs" priority="19" operator="equal" dxfId="0">
      <formula>$M$21</formula>
    </cfRule>
  </conditionalFormatting>
  <conditionalFormatting sqref="M24">
    <cfRule type="cellIs" priority="17" operator="equal" dxfId="0">
      <formula>$M$21</formula>
    </cfRule>
  </conditionalFormatting>
  <conditionalFormatting sqref="N24">
    <cfRule type="cellIs" priority="15" operator="equal" dxfId="0">
      <formula>$M$21</formula>
    </cfRule>
  </conditionalFormatting>
  <conditionalFormatting sqref="M25">
    <cfRule type="cellIs" priority="13" operator="equal" dxfId="0">
      <formula>$M$21</formula>
    </cfRule>
  </conditionalFormatting>
  <conditionalFormatting sqref="N25">
    <cfRule type="cellIs" priority="11" operator="equal" dxfId="0">
      <formula>$M$21</formula>
    </cfRule>
  </conditionalFormatting>
  <conditionalFormatting sqref="N23:N25">
    <cfRule type="cellIs" priority="9" operator="equal" dxfId="0">
      <formula>$M$21</formula>
    </cfRule>
  </conditionalFormatting>
  <conditionalFormatting sqref="M26">
    <cfRule type="cellIs" priority="7" operator="equal" dxfId="0">
      <formula>$M$21</formula>
    </cfRule>
    <cfRule type="cellIs" priority="5" operator="equal" dxfId="0">
      <formula>$M$21</formula>
    </cfRule>
  </conditionalFormatting>
  <conditionalFormatting sqref="N26">
    <cfRule type="cellIs" priority="3" operator="equal" dxfId="0">
      <formula>$M$21</formula>
    </cfRule>
    <cfRule type="cellIs" priority="1" operator="equal" dxfId="0">
      <formula>$M$21</formula>
    </cfRule>
  </conditionalFormatting>
  <dataValidations count="9">
    <dataValidation sqref="C13:C18" showErrorMessage="1" showInputMessage="1" allowBlank="1" type="list">
      <formula1>$Q$9:$Q$19</formula1>
    </dataValidation>
    <dataValidation sqref="D13:D18" showErrorMessage="1" showInputMessage="1" allowBlank="1" type="list">
      <formula1>$R$9:$R$19</formula1>
    </dataValidation>
    <dataValidation sqref="E13:E18" showErrorMessage="1" showInputMessage="1" allowBlank="1" type="list">
      <formula1>$S$9:$S$19</formula1>
    </dataValidation>
    <dataValidation sqref="F13:F18" showErrorMessage="1" showInputMessage="1" allowBlank="1" type="list">
      <formula1>$T$9:$T$19</formula1>
    </dataValidation>
    <dataValidation sqref="I37:I43" showErrorMessage="1" showInputMessage="1" allowBlank="1" type="list">
      <formula1>$C$3:$G$3</formula1>
    </dataValidation>
    <dataValidation sqref="F9:F12 G23:G32" showErrorMessage="1" showInputMessage="1" allowBlank="1" type="list">
      <formula1>$T$9:$T$18</formula1>
    </dataValidation>
    <dataValidation sqref="C9:C12 D23:D32" showErrorMessage="1" showInputMessage="1" allowBlank="1" type="list">
      <formula1>$Q$9:$Q$15</formula1>
    </dataValidation>
    <dataValidation sqref="D9:D12 E23:E32" showErrorMessage="1" showInputMessage="1" allowBlank="1" type="list">
      <formula1>$R$9:$R$15</formula1>
    </dataValidation>
    <dataValidation sqref="E9:E12 F23:F32" showErrorMessage="1" showInputMessage="1" allowBlank="1" type="list">
      <formula1>$S$9:$S$15</formula1>
    </dataValidation>
  </dataValidations>
  <pageMargins left="0.7" right="0.7" top="0.75" bottom="0.75" header="0.3" footer="0.3"/>
  <pageSetup orientation="landscape" paperSize="9" scale="28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49"/>
  <sheetViews>
    <sheetView zoomScale="55" zoomScaleNormal="55" workbookViewId="0">
      <selection activeCell="H29" sqref="H29"/>
    </sheetView>
  </sheetViews>
  <sheetFormatPr baseColWidth="8" defaultColWidth="44" defaultRowHeight="17.25"/>
  <cols>
    <col width="8.42578125" customWidth="1" style="19" min="1" max="1"/>
    <col width="6" customWidth="1" style="19" min="2" max="2"/>
    <col width="47.85546875" customWidth="1" style="19" min="3" max="3"/>
    <col width="36.7109375" customWidth="1" style="19" min="4" max="4"/>
    <col width="30.85546875" customWidth="1" style="19" min="5" max="5"/>
    <col width="14.7109375" customWidth="1" style="19" min="6" max="6"/>
    <col width="5.85546875" bestFit="1" customWidth="1" style="19" min="7" max="7"/>
    <col width="44" customWidth="1" style="19" min="8" max="8"/>
    <col width="32.85546875" customWidth="1" style="19" min="9" max="10"/>
    <col width="15.42578125" customWidth="1" style="19" min="11" max="11"/>
    <col width="5.85546875" bestFit="1" customWidth="1" style="19" min="12" max="12"/>
    <col width="38.5703125" customWidth="1" style="19" min="13" max="13"/>
    <col width="29.42578125" customWidth="1" style="19" min="14" max="14"/>
    <col width="31" customWidth="1" style="19" min="15" max="15"/>
    <col width="19.42578125" customWidth="1" style="19" min="16" max="16"/>
    <col width="44" customWidth="1" style="19" min="17" max="16384"/>
  </cols>
  <sheetData>
    <row r="1" ht="24" customFormat="1" customHeight="1" s="19">
      <c r="B1" s="283" t="n"/>
    </row>
    <row r="2" ht="63" customHeight="1">
      <c r="B2" s="284" t="inlineStr">
        <is>
          <t>Mahalliy banklarga mabdagʻ joylashtirish boʻyicha 
 oʻrnatilgan limitlar miqdori</t>
        </is>
      </c>
      <c r="G2" s="284" t="inlineStr">
        <is>
          <t>Xorijiy hamkor banklarga mablagʻ joylashtirish boʻyicha 
 oʻrnatilgan limitlar miqdori</t>
        </is>
      </c>
      <c r="L2" s="284" t="inlineStr">
        <is>
          <t>Mamlakatlargaga mablagʻ joylashtirish boʻyicha 
 oʻrnatilgan limitlar miqdori</t>
        </is>
      </c>
    </row>
    <row r="3" ht="18" customHeight="1">
      <c r="D3" s="3" t="n"/>
      <c r="E3" s="4" t="inlineStr">
        <is>
          <t>mlrd. soʻm</t>
        </is>
      </c>
      <c r="J3" s="160" t="inlineStr">
        <is>
          <t>mln. dol.</t>
        </is>
      </c>
      <c r="L3" s="19" t="n"/>
      <c r="M3" s="19" t="n"/>
      <c r="N3" s="19" t="n"/>
      <c r="O3" s="160" t="inlineStr">
        <is>
          <t>mln. dol.</t>
        </is>
      </c>
    </row>
    <row r="4" ht="17.25" customHeight="1">
      <c r="B4" s="281" t="inlineStr">
        <is>
          <t>T/r</t>
        </is>
      </c>
      <c r="C4" s="281" t="inlineStr">
        <is>
          <t>Tijorat banklari nomi</t>
        </is>
      </c>
      <c r="D4" s="282" t="inlineStr">
        <is>
          <t xml:space="preserve">Bank moliyaviy koʻrsatkichlari asosida baholanishi 
(maks – 195 ball)
</t>
        </is>
      </c>
      <c r="E4" s="281" t="inlineStr">
        <is>
          <t xml:space="preserve">Oʻrnatilgan me’yor miqdori
(maks – I darajali kapitalning 25%)
</t>
        </is>
      </c>
      <c r="G4" s="281" t="inlineStr">
        <is>
          <t>T/r</t>
        </is>
      </c>
      <c r="H4" s="281" t="inlineStr">
        <is>
          <t>Tijorat banklari nomi</t>
        </is>
      </c>
      <c r="I4" s="282" t="inlineStr">
        <is>
          <t>Bank moliyaviy koʻrsatkichlari asosida baholanishi                     (maks 125 ball)</t>
        </is>
      </c>
      <c r="J4" s="281" t="inlineStr">
        <is>
          <t xml:space="preserve">Oʻrnatilgan limit miqdori 
(maks – xorijiy valyutadagi aktivlarning 15%i)
</t>
        </is>
      </c>
      <c r="L4" s="281" t="inlineStr">
        <is>
          <t>T/r</t>
        </is>
      </c>
      <c r="M4" s="281" t="inlineStr">
        <is>
          <t>Mamlakatlar nomi</t>
        </is>
      </c>
      <c r="N4" s="282" t="inlineStr">
        <is>
          <t>Mamlakat boʻyicha bank reytingi</t>
        </is>
      </c>
      <c r="O4" s="281" t="inlineStr">
        <is>
          <t>Oʻrnatilgan limit miqdori</t>
        </is>
      </c>
    </row>
    <row r="5" ht="66.75" customHeight="1">
      <c r="B5" s="304" t="n"/>
      <c r="C5" s="304" t="n"/>
      <c r="D5" s="304" t="n"/>
      <c r="E5" s="304" t="n"/>
      <c r="G5" s="304" t="n"/>
      <c r="H5" s="304" t="n"/>
      <c r="I5" s="304" t="n"/>
      <c r="J5" s="304" t="n"/>
      <c r="L5" s="304" t="n"/>
      <c r="M5" s="304" t="n"/>
      <c r="N5" s="304" t="n"/>
      <c r="O5" s="304" t="n"/>
    </row>
    <row r="6">
      <c r="B6" s="18" t="n">
        <v>1</v>
      </c>
      <c r="C6" s="161" t="inlineStr">
        <is>
          <t>АКБ "ASIA ALLIANCE BANK"</t>
        </is>
      </c>
      <c r="D6" s="15">
        <f>+HLOOKUP(C6,'Маҳаллий банклар'!$107:$138,32,0)</f>
        <v/>
      </c>
      <c r="E6" s="306">
        <f>+HLOOKUP(C6,'Маҳаллий банклар'!$107:$143,37,0)/1000000</f>
        <v/>
      </c>
      <c r="F6" s="5">
        <f>+IF(E6&gt;$D$44,"Xatolik","Ok")</f>
        <v/>
      </c>
      <c r="G6" s="18" t="n">
        <v>1</v>
      </c>
      <c r="H6" s="16">
        <f>+'Хорижий банклар'!B51</f>
        <v/>
      </c>
      <c r="I6" s="15">
        <f>+VLOOKUP($H6,'Хорижий банклар'!$B$51:$H$60,7,0)</f>
        <v/>
      </c>
      <c r="J6" s="306">
        <f>+VLOOKUP($H6,'Хорижий банклар'!$B$51:$L$60,10,0)/1000000</f>
        <v/>
      </c>
      <c r="K6" s="5">
        <f>+IF(J6&gt;$J$44,"Xatolik","Ok")</f>
        <v/>
      </c>
      <c r="L6" s="18" t="n">
        <v>1</v>
      </c>
      <c r="M6" s="16">
        <f>+'Хорижий банклар'!B9</f>
        <v/>
      </c>
      <c r="N6" s="15">
        <f>+'Хорижий банклар'!F9</f>
        <v/>
      </c>
      <c r="O6" s="306">
        <f>+'Хорижий банклар'!J9/1000000</f>
        <v/>
      </c>
      <c r="P6" s="5">
        <f>+IF(O6&gt;$O$44,"Xatolik","Ok")</f>
        <v/>
      </c>
    </row>
    <row r="7">
      <c r="B7" s="18">
        <f>+B6+1</f>
        <v/>
      </c>
      <c r="C7" s="16" t="inlineStr">
        <is>
          <t>АТБ "АГРОБАНК"</t>
        </is>
      </c>
      <c r="D7" s="15">
        <f>+HLOOKUP(C7,'Маҳаллий банклар'!$107:$138,32,0)</f>
        <v/>
      </c>
      <c r="E7" s="306">
        <f>+HLOOKUP(C7,'Маҳаллий банклар'!$107:$143,37,0)/1000000</f>
        <v/>
      </c>
      <c r="F7" s="5">
        <f>+IF(E7&gt;$D$44,"Xatolik","Ok")</f>
        <v/>
      </c>
      <c r="G7" s="18">
        <f>+G6+1</f>
        <v/>
      </c>
      <c r="H7" s="16">
        <f>+'Хорижий банклар'!B52</f>
        <v/>
      </c>
      <c r="I7" s="15">
        <f>+VLOOKUP($H7,'Хорижий банклар'!$B$51:$H$60,7,0)</f>
        <v/>
      </c>
      <c r="J7" s="306">
        <f>+VLOOKUP($H7,'Хорижий банклар'!$B$51:$L$60,10,0)/1000000</f>
        <v/>
      </c>
      <c r="K7" s="5">
        <f>+IF(J7&gt;$J$44,"Xatolik","Ok")</f>
        <v/>
      </c>
      <c r="L7" s="18">
        <f>+L6+1</f>
        <v/>
      </c>
      <c r="M7" s="16">
        <f>+'Хорижий банклар'!B10</f>
        <v/>
      </c>
      <c r="N7" s="15">
        <f>+'Хорижий банклар'!F10</f>
        <v/>
      </c>
      <c r="O7" s="306">
        <f>+'Хорижий банклар'!J10/1000000</f>
        <v/>
      </c>
      <c r="P7" s="5">
        <f>+IF(O7&gt;$O$44,"Xatolik","Ok")</f>
        <v/>
      </c>
    </row>
    <row r="8">
      <c r="B8" s="18">
        <f>+B7+1</f>
        <v/>
      </c>
      <c r="C8" s="16" t="inlineStr">
        <is>
          <t>АК "Алокабанк"</t>
        </is>
      </c>
      <c r="D8" s="15">
        <f>+HLOOKUP(C8,'Маҳаллий банклар'!$107:$138,32,0)</f>
        <v/>
      </c>
      <c r="E8" s="306">
        <f>+HLOOKUP(C8,'Маҳаллий банклар'!$107:$143,37,0)/1000000</f>
        <v/>
      </c>
      <c r="F8" s="5">
        <f>+IF(E8&gt;$D$44,"Xatolik","Ok")</f>
        <v/>
      </c>
      <c r="G8" s="18">
        <f>+G7+1</f>
        <v/>
      </c>
      <c r="H8" s="16">
        <f>+'Хорижий банклар'!B53</f>
        <v/>
      </c>
      <c r="I8" s="15">
        <f>+VLOOKUP($H8,'Хорижий банклар'!$B$51:$H$60,7,0)</f>
        <v/>
      </c>
      <c r="J8" s="306">
        <f>+VLOOKUP($H8,'Хорижий банклар'!$B$51:$L$60,10,0)/1000000</f>
        <v/>
      </c>
      <c r="K8" s="5">
        <f>+IF(J8&gt;$J$44,"Xatolik","Ok")</f>
        <v/>
      </c>
      <c r="L8" s="18">
        <f>+L7+1</f>
        <v/>
      </c>
      <c r="M8" s="16">
        <f>+'Хорижий банклар'!B11</f>
        <v/>
      </c>
      <c r="N8" s="15">
        <f>+'Хорижий банклар'!F11</f>
        <v/>
      </c>
      <c r="O8" s="306">
        <f>+'Хорижий банклар'!J11/1000000</f>
        <v/>
      </c>
      <c r="P8" s="5">
        <f>+IF(O8&gt;$O$44,"Xatolik","Ok")</f>
        <v/>
      </c>
    </row>
    <row r="9">
      <c r="B9" s="18">
        <f>+B8+1</f>
        <v/>
      </c>
      <c r="C9" s="16" t="inlineStr">
        <is>
          <t>Anorbank</t>
        </is>
      </c>
      <c r="D9" s="15">
        <f>+HLOOKUP(C9,'Маҳаллий банклар'!$107:$138,32,0)</f>
        <v/>
      </c>
      <c r="E9" s="306">
        <f>+HLOOKUP(C9,'Маҳаллий банклар'!$107:$143,37,0)/1000000</f>
        <v/>
      </c>
      <c r="F9" s="5">
        <f>+IF(E9&gt;$D$44,"Xatolik","Ok")</f>
        <v/>
      </c>
      <c r="G9" s="18">
        <f>+G8+1</f>
        <v/>
      </c>
      <c r="H9" s="16">
        <f>+'Хорижий банклар'!B54</f>
        <v/>
      </c>
      <c r="I9" s="15">
        <f>+VLOOKUP($H9,'Хорижий банклар'!$B$51:$H$60,7,0)</f>
        <v/>
      </c>
      <c r="J9" s="306">
        <f>+VLOOKUP($H9,'Хорижий банклар'!$B$51:$L$60,10,0)/1000000</f>
        <v/>
      </c>
      <c r="K9" s="5">
        <f>+IF(J9&gt;$J$44,"Xatolik","Ok")</f>
        <v/>
      </c>
      <c r="L9" s="18">
        <f>+L8+1</f>
        <v/>
      </c>
      <c r="M9" s="16">
        <f>+'Хорижий банклар'!B12</f>
        <v/>
      </c>
      <c r="N9" s="15">
        <f>+'Хорижий банклар'!F12</f>
        <v/>
      </c>
      <c r="O9" s="306">
        <f>+'Хорижий банклар'!J12/1000000</f>
        <v/>
      </c>
      <c r="P9" s="5">
        <f>+IF(O9&gt;$O$44,"Xatolik","Ok")</f>
        <v/>
      </c>
    </row>
    <row r="10">
      <c r="B10" s="18">
        <f>+B9+1</f>
        <v/>
      </c>
      <c r="C10" s="16" t="inlineStr">
        <is>
          <t>"Асака" банк</t>
        </is>
      </c>
      <c r="D10" s="15">
        <f>+HLOOKUP(C10,'Маҳаллий банклар'!$107:$138,32,0)</f>
        <v/>
      </c>
      <c r="E10" s="306">
        <f>+HLOOKUP(C10,'Маҳаллий банклар'!$107:$143,37,0)/1000000</f>
        <v/>
      </c>
      <c r="F10" s="5">
        <f>+IF(E10&gt;$D$44,"Xatolik","Ok")</f>
        <v/>
      </c>
      <c r="K10" s="19" t="n"/>
      <c r="L10" s="19" t="n"/>
      <c r="M10" s="19" t="n"/>
      <c r="N10" s="19" t="n"/>
    </row>
    <row r="11">
      <c r="B11" s="18">
        <f>+B10+1</f>
        <v/>
      </c>
      <c r="C11" s="16" t="inlineStr">
        <is>
          <t>ЧАКБ"ДАВР БАНК"</t>
        </is>
      </c>
      <c r="D11" s="15">
        <f>+HLOOKUP(C11,'Маҳаллий банклар'!$107:$138,32,0)</f>
        <v/>
      </c>
      <c r="E11" s="306">
        <f>+HLOOKUP(C11,'Маҳаллий банклар'!$107:$143,37,0)/1000000</f>
        <v/>
      </c>
      <c r="F11" s="5">
        <f>+IF(E11&gt;$D$44,"Xatolik","Ok")</f>
        <v/>
      </c>
      <c r="I11" s="242" t="n"/>
      <c r="J11" s="307" t="n"/>
      <c r="K11" s="19" t="n"/>
      <c r="L11" s="19" t="n"/>
      <c r="M11" s="19" t="n"/>
      <c r="N11" s="242" t="n"/>
      <c r="O11" s="5" t="n"/>
    </row>
    <row r="12">
      <c r="B12" s="18">
        <f>+B11+1</f>
        <v/>
      </c>
      <c r="C12" s="16" t="inlineStr">
        <is>
          <t>АКБ Hamkorbank</t>
        </is>
      </c>
      <c r="D12" s="15">
        <f>+HLOOKUP(C12,'Маҳаллий банклар'!$107:$138,32,0)</f>
        <v/>
      </c>
      <c r="E12" s="306">
        <f>+HLOOKUP(C12,'Маҳаллий банклар'!$107:$143,37,0)/1000000</f>
        <v/>
      </c>
      <c r="F12" s="5">
        <f>+IF(E12&gt;$D$44,"Xatolik","Ok")</f>
        <v/>
      </c>
      <c r="K12" s="19" t="n"/>
      <c r="L12" s="19" t="n"/>
      <c r="M12" s="19" t="n"/>
      <c r="N12" s="19" t="n"/>
    </row>
    <row r="13">
      <c r="B13" s="18">
        <f>+B12+1</f>
        <v/>
      </c>
      <c r="C13" s="16" t="inlineStr">
        <is>
          <t>АКБ "InFinBank"</t>
        </is>
      </c>
      <c r="D13" s="15">
        <f>+HLOOKUP(C13,'Маҳаллий банклар'!$107:$138,32,0)</f>
        <v/>
      </c>
      <c r="E13" s="306">
        <f>+HLOOKUP(C13,'Маҳаллий банклар'!$107:$143,37,0)/1000000</f>
        <v/>
      </c>
      <c r="F13" s="5">
        <f>+IF(E13&gt;$D$44,"Xatolik","Ok")</f>
        <v/>
      </c>
      <c r="K13" s="19" t="n"/>
      <c r="L13" s="19" t="n"/>
      <c r="M13" s="19" t="n"/>
      <c r="N13" s="19" t="n"/>
    </row>
    <row r="14">
      <c r="B14" s="18">
        <f>+B13+1</f>
        <v/>
      </c>
      <c r="C14" s="16" t="inlineStr">
        <is>
          <t>АИКБ "Ипак Йули"</t>
        </is>
      </c>
      <c r="D14" s="15">
        <f>+HLOOKUP(C14,'Маҳаллий банклар'!$107:$138,32,0)</f>
        <v/>
      </c>
      <c r="E14" s="306">
        <f>+HLOOKUP(C14,'Маҳаллий банклар'!$107:$143,37,0)/1000000</f>
        <v/>
      </c>
      <c r="F14" s="5">
        <f>+IF(E14&gt;$D$44,"Xatolik","Ok")</f>
        <v/>
      </c>
      <c r="K14" s="19" t="n"/>
      <c r="L14" s="19" t="n"/>
      <c r="M14" s="19" t="n"/>
      <c r="N14" s="19" t="n"/>
    </row>
    <row r="15">
      <c r="B15" s="18">
        <f>+B14+1</f>
        <v/>
      </c>
      <c r="C15" s="16" t="inlineStr">
        <is>
          <t>ИПОТЕКА-БАНК АТИБ</t>
        </is>
      </c>
      <c r="D15" s="15">
        <f>+HLOOKUP(C15,'Маҳаллий банклар'!$107:$138,32,0)</f>
        <v/>
      </c>
      <c r="E15" s="306">
        <f>+HLOOKUP(C15,'Маҳаллий банклар'!$107:$143,37,0)/1000000</f>
        <v/>
      </c>
      <c r="F15" s="5">
        <f>+IF(E15&gt;$D$44,"Xatolik","Ok")</f>
        <v/>
      </c>
      <c r="I15" s="19" t="n">
        <v>31.6</v>
      </c>
      <c r="K15" s="19" t="n"/>
      <c r="L15" s="19" t="n"/>
      <c r="M15" s="19" t="n"/>
      <c r="N15" s="19" t="n"/>
    </row>
    <row r="16">
      <c r="B16" s="18">
        <f>+B15+1</f>
        <v/>
      </c>
      <c r="C16" s="16" t="inlineStr">
        <is>
          <t xml:space="preserve">АКБ "Капиталбанк" </t>
        </is>
      </c>
      <c r="D16" s="15">
        <f>+HLOOKUP(C16,'Маҳаллий банклар'!$107:$138,32,0)</f>
        <v/>
      </c>
      <c r="E16" s="306">
        <f>+HLOOKUP(C16,'Маҳаллий банклар'!$107:$143,37,0)/1000000</f>
        <v/>
      </c>
      <c r="F16" s="5">
        <f>+IF(E16&gt;$D$44,"Xatolik","Ok")</f>
        <v/>
      </c>
      <c r="I16" s="308" t="n">
        <v>50</v>
      </c>
      <c r="K16" s="19" t="n"/>
      <c r="L16" s="19" t="n"/>
      <c r="M16" s="19" t="n"/>
      <c r="N16" s="19" t="n"/>
    </row>
    <row r="17">
      <c r="B17" s="18">
        <f>+B16+1</f>
        <v/>
      </c>
      <c r="C17" s="16" t="inlineStr">
        <is>
          <t>АО "КДБ Банк Узбекистан"</t>
        </is>
      </c>
      <c r="D17" s="15">
        <f>+HLOOKUP(C17,'Маҳаллий банклар'!$107:$138,32,0)</f>
        <v/>
      </c>
      <c r="E17" s="306">
        <f>+HLOOKUP(C17,'Маҳаллий банклар'!$107:$143,37,0)/1000000</f>
        <v/>
      </c>
      <c r="F17" s="5">
        <f>+IF(E17&gt;$D$44,"Xatolik","Ok")</f>
        <v/>
      </c>
      <c r="K17" s="19" t="n"/>
      <c r="L17" s="19" t="n"/>
      <c r="M17" s="19" t="n"/>
      <c r="N17" s="19" t="n"/>
    </row>
    <row r="18">
      <c r="B18" s="18">
        <f>+B17+1</f>
        <v/>
      </c>
      <c r="C18" s="16" t="inlineStr">
        <is>
          <t>АКБ "Мадад Инвест Банк"</t>
        </is>
      </c>
      <c r="D18" s="15">
        <f>+HLOOKUP(C18,'Маҳаллий банклар'!$107:$138,32,0)</f>
        <v/>
      </c>
      <c r="E18" s="306">
        <f>+HLOOKUP(C18,'Маҳаллий банклар'!$107:$143,37,0)/1000000</f>
        <v/>
      </c>
      <c r="F18" s="5">
        <f>+IF(E18&gt;$D$44,"Xatolik","Ok")</f>
        <v/>
      </c>
      <c r="K18" s="19" t="n"/>
      <c r="L18" s="19" t="n"/>
      <c r="M18" s="19" t="n"/>
      <c r="N18" s="19" t="n"/>
    </row>
    <row r="19" ht="15.75" customHeight="1">
      <c r="B19" s="18">
        <f>+B18+1</f>
        <v/>
      </c>
      <c r="C19" s="16" t="inlineStr">
        <is>
          <t>АО "Национальный банк ВЭД РУ"</t>
        </is>
      </c>
      <c r="D19" s="15">
        <f>+HLOOKUP(C19,'Маҳаллий банклар'!$107:$138,32,0)</f>
        <v/>
      </c>
      <c r="E19" s="306">
        <f>+HLOOKUP(C19,'Маҳаллий банклар'!$107:$143,37,0)/1000000</f>
        <v/>
      </c>
      <c r="F19" s="5">
        <f>+IF(E19&gt;$D$44,"Xatolik","Ok")</f>
        <v/>
      </c>
      <c r="K19" s="19" t="n"/>
      <c r="L19" s="19" t="n"/>
      <c r="M19" s="19" t="n"/>
      <c r="N19" s="19" t="n"/>
    </row>
    <row r="20">
      <c r="B20" s="18">
        <f>+B19+1</f>
        <v/>
      </c>
      <c r="C20" s="16" t="inlineStr">
        <is>
          <t>ЧАКБ "Ориент Финанс"</t>
        </is>
      </c>
      <c r="D20" s="15">
        <f>+HLOOKUP(C20,'Маҳаллий банклар'!$107:$138,32,0)</f>
        <v/>
      </c>
      <c r="E20" s="306">
        <f>+HLOOKUP(C20,'Маҳаллий банклар'!$107:$143,37,0)/1000000</f>
        <v/>
      </c>
      <c r="F20" s="5">
        <f>+IF(E20&gt;$D$44,"Xatolik","Ok")</f>
        <v/>
      </c>
      <c r="K20" s="19" t="n"/>
      <c r="L20" s="19" t="n"/>
      <c r="M20" s="19" t="n"/>
      <c r="N20" s="19" t="n"/>
    </row>
    <row r="21">
      <c r="B21" s="18">
        <f>+B20+1</f>
        <v/>
      </c>
      <c r="C21" s="16" t="inlineStr">
        <is>
          <t>АО "Пойтахт банк"</t>
        </is>
      </c>
      <c r="D21" s="15">
        <f>+HLOOKUP(C21,'Маҳаллий банклар'!$107:$138,32,0)</f>
        <v/>
      </c>
      <c r="E21" s="306">
        <f>+HLOOKUP(C21,'Маҳаллий банклар'!$107:$143,37,0)/1000000</f>
        <v/>
      </c>
      <c r="F21" s="5">
        <f>+IF(E21&gt;$D$44,"Xatolik","Ok")</f>
        <v/>
      </c>
      <c r="K21" s="19" t="n"/>
      <c r="L21" s="19" t="n"/>
      <c r="M21" s="19" t="n"/>
      <c r="N21" s="19" t="n"/>
    </row>
    <row r="22">
      <c r="B22" s="18">
        <f>+B21+1</f>
        <v/>
      </c>
      <c r="C22" s="16" t="inlineStr">
        <is>
          <t>АТБ Biznesni rivojlantirish banki</t>
        </is>
      </c>
      <c r="D22" s="15">
        <f>+HLOOKUP(C22,'Маҳаллий банклар'!$107:$138,32,0)</f>
        <v/>
      </c>
      <c r="E22" s="306">
        <f>+HLOOKUP(C22,'Маҳаллий банклар'!$107:$143,37,0)/1000000</f>
        <v/>
      </c>
      <c r="F22" s="5">
        <f>+IF(E22&gt;$D$44,"Xatolik","Ok")</f>
        <v/>
      </c>
      <c r="K22" s="19" t="n"/>
      <c r="L22" s="19" t="n"/>
      <c r="M22" s="19" t="n"/>
      <c r="N22" s="19" t="n"/>
    </row>
    <row r="23">
      <c r="B23" s="18">
        <f>+B22+1</f>
        <v/>
      </c>
      <c r="C23" s="16" t="inlineStr">
        <is>
          <t>Octobank</t>
        </is>
      </c>
      <c r="D23" s="15">
        <f>+HLOOKUP(C23,'Маҳаллий банклар'!$107:$138,32,0)</f>
        <v/>
      </c>
      <c r="E23" s="306">
        <f>+HLOOKUP(C23,'Маҳаллий банклар'!$107:$143,37,0)/1000000</f>
        <v/>
      </c>
      <c r="F23" s="5">
        <f>+IF(E23&gt;$D$44,"Xatolik","Ok")</f>
        <v/>
      </c>
      <c r="K23" s="19" t="n"/>
      <c r="L23" s="19" t="n"/>
      <c r="M23" s="19" t="n"/>
      <c r="N23" s="19" t="n"/>
    </row>
    <row r="24">
      <c r="B24" s="18">
        <f>+B23+1</f>
        <v/>
      </c>
      <c r="C24" s="16" t="inlineStr">
        <is>
          <t xml:space="preserve">Садерат банк </t>
        </is>
      </c>
      <c r="D24" s="15">
        <f>+HLOOKUP(C24,'Маҳаллий банклар'!$107:$138,32,0)</f>
        <v/>
      </c>
      <c r="E24" s="306">
        <f>+HLOOKUP(C24,'Маҳаллий банклар'!$107:$143,37,0)/1000000</f>
        <v/>
      </c>
      <c r="F24" s="5">
        <f>+IF(E24&gt;$D$44,"Xatolik","Ok")</f>
        <v/>
      </c>
      <c r="K24" s="19" t="n"/>
      <c r="L24" s="19" t="n"/>
      <c r="M24" s="19" t="n"/>
      <c r="N24" s="19" t="n"/>
    </row>
    <row r="25">
      <c r="B25" s="18">
        <f>+B24+1</f>
        <v/>
      </c>
      <c r="C25" s="16" t="inlineStr">
        <is>
          <t xml:space="preserve"> "Гарант банк" АЖ</t>
        </is>
      </c>
      <c r="D25" s="15">
        <f>+HLOOKUP(C25,'Маҳаллий банклар'!$107:$138,32,0)</f>
        <v/>
      </c>
      <c r="E25" s="306">
        <f>+HLOOKUP(C25,'Маҳаллий банклар'!$107:$143,37,0)/1000000</f>
        <v/>
      </c>
      <c r="F25" s="5">
        <f>+IF(E25&gt;$D$44,"Xatolik","Ok")</f>
        <v/>
      </c>
      <c r="K25" s="19" t="n"/>
      <c r="L25" s="19" t="n"/>
      <c r="M25" s="19" t="n"/>
      <c r="N25" s="19" t="n"/>
    </row>
    <row r="26">
      <c r="B26" s="18">
        <f>+B25+1</f>
        <v/>
      </c>
      <c r="C26" s="16" t="inlineStr">
        <is>
          <t>АКБ "Тибиси банк"</t>
        </is>
      </c>
      <c r="D26" s="15">
        <f>+HLOOKUP(C26,'Маҳаллий банклар'!$107:$138,32,0)</f>
        <v/>
      </c>
      <c r="E26" s="306">
        <f>+HLOOKUP(C26,'Маҳаллий банклар'!$107:$143,37,0)/1000000</f>
        <v/>
      </c>
      <c r="F26" s="5">
        <f>+IF(E26&gt;$D$44,"Xatolik","Ok")</f>
        <v/>
      </c>
      <c r="K26" s="19" t="n"/>
      <c r="L26" s="19" t="n"/>
      <c r="M26" s="19" t="n"/>
      <c r="N26" s="19" t="n"/>
    </row>
    <row r="27">
      <c r="B27" s="18">
        <f>+B26+1</f>
        <v/>
      </c>
      <c r="C27" s="16" t="inlineStr">
        <is>
          <t>АКБ "Tenge Bank"</t>
        </is>
      </c>
      <c r="D27" s="15">
        <f>+HLOOKUP(C27,'Маҳаллий банклар'!$107:$138,32,0)</f>
        <v/>
      </c>
      <c r="E27" s="306">
        <f>+HLOOKUP(C27,'Маҳаллий банклар'!$107:$143,37,0)/1000000</f>
        <v/>
      </c>
      <c r="F27" s="5">
        <f>+IF(E27&gt;$D$44,"Xatolik","Ok")</f>
        <v/>
      </c>
      <c r="K27" s="19" t="n"/>
      <c r="L27" s="19" t="n"/>
      <c r="M27" s="19" t="n"/>
      <c r="N27" s="19" t="n"/>
    </row>
    <row r="28">
      <c r="B28" s="18">
        <f>+B27+1</f>
        <v/>
      </c>
      <c r="C28" s="16" t="inlineStr">
        <is>
          <t>ЧАБ "Трастбанк"</t>
        </is>
      </c>
      <c r="D28" s="15">
        <f>+HLOOKUP(C28,'Маҳаллий банклар'!$107:$138,32,0)</f>
        <v/>
      </c>
      <c r="E28" s="306">
        <f>+HLOOKUP(C28,'Маҳаллий банклар'!$107:$143,37,0)/1000000</f>
        <v/>
      </c>
      <c r="F28" s="5">
        <f>+IF(E28&gt;$D$44,"Xatolik","Ok")</f>
        <v/>
      </c>
      <c r="K28" s="19" t="n"/>
      <c r="L28" s="19" t="n"/>
      <c r="M28" s="19" t="n"/>
      <c r="N28" s="19" t="n"/>
    </row>
    <row r="29">
      <c r="B29" s="18">
        <f>+B28+1</f>
        <v/>
      </c>
      <c r="C29" s="16" t="inlineStr">
        <is>
          <t>АКБ "ТУРОНБАНК"</t>
        </is>
      </c>
      <c r="D29" s="15">
        <f>+HLOOKUP(C29,'Маҳаллий банклар'!$107:$138,32,0)</f>
        <v/>
      </c>
      <c r="E29" s="306">
        <f>+HLOOKUP(C29,'Маҳаллий банклар'!$107:$143,37,0)/1000000</f>
        <v/>
      </c>
      <c r="F29" s="5">
        <f>+IF(E29&gt;$D$44,"Xatolik","Ok")</f>
        <v/>
      </c>
      <c r="K29" s="19" t="n"/>
      <c r="L29" s="19" t="n"/>
      <c r="M29" s="19" t="n"/>
      <c r="N29" s="19" t="n"/>
    </row>
    <row r="30">
      <c r="B30" s="18">
        <f>+B29+1</f>
        <v/>
      </c>
      <c r="C30" s="16" t="inlineStr">
        <is>
          <t>AVO bank</t>
        </is>
      </c>
      <c r="D30" s="15">
        <f>+HLOOKUP(C30,'Маҳаллий банклар'!$107:$138,32,0)</f>
        <v/>
      </c>
      <c r="E30" s="306">
        <f>+HLOOKUP(C30,'Маҳаллий банклар'!$107:$143,37,0)/1000000</f>
        <v/>
      </c>
      <c r="F30" s="5">
        <f>+IF(E30&gt;$D$44,"Xatolik","Ok")</f>
        <v/>
      </c>
      <c r="K30" s="19" t="n"/>
      <c r="L30" s="19" t="n"/>
      <c r="M30" s="19" t="n"/>
      <c r="N30" s="19" t="n"/>
    </row>
    <row r="31">
      <c r="B31" s="18">
        <f>+B30+1</f>
        <v/>
      </c>
      <c r="C31" s="16" t="inlineStr">
        <is>
          <t>АКБ УНИВЕРСАЛ БАНК</t>
        </is>
      </c>
      <c r="D31" s="15">
        <f>+HLOOKUP(C31,'Маҳаллий банклар'!$107:$138,32,0)</f>
        <v/>
      </c>
      <c r="E31" s="306">
        <f>+HLOOKUP(C31,'Маҳаллий банклар'!$107:$143,37,0)/1000000</f>
        <v/>
      </c>
      <c r="F31" s="5">
        <f>+IF(E31&gt;$D$44,"Xatolik","Ok")</f>
        <v/>
      </c>
      <c r="K31" s="19" t="n"/>
      <c r="L31" s="19" t="n"/>
      <c r="M31" s="19" t="n"/>
      <c r="N31" s="19" t="n"/>
    </row>
    <row r="32">
      <c r="B32" s="18">
        <f>+B31+1</f>
        <v/>
      </c>
      <c r="C32" s="16" t="inlineStr">
        <is>
          <t>АК УЗПРОМСТРОЙБАНК</t>
        </is>
      </c>
      <c r="D32" s="15">
        <f>+HLOOKUP(C32,'Маҳаллий банклар'!$107:$138,32,0)</f>
        <v/>
      </c>
      <c r="E32" s="306">
        <f>+HLOOKUP(C32,'Маҳаллий банклар'!$107:$143,37,0)/1000000</f>
        <v/>
      </c>
      <c r="F32" s="5">
        <f>+IF(E32&gt;$D$44,"Xatolik","Ok")</f>
        <v/>
      </c>
      <c r="K32" s="19" t="n"/>
      <c r="L32" s="19" t="n"/>
      <c r="M32" s="19" t="n"/>
      <c r="N32" s="19" t="n"/>
    </row>
    <row r="33">
      <c r="B33" s="18">
        <f>+B32+1</f>
        <v/>
      </c>
      <c r="C33" s="16" t="inlineStr">
        <is>
          <t>АК Народный банк</t>
        </is>
      </c>
      <c r="D33" s="15">
        <f>+HLOOKUP(C33,'Маҳаллий банклар'!$107:$138,32,0)</f>
        <v/>
      </c>
      <c r="E33" s="306">
        <f>+HLOOKUP(C33,'Маҳаллий банклар'!$107:$143,37,0)/1000000</f>
        <v/>
      </c>
      <c r="F33" s="5">
        <f>+IF(E33&gt;$D$44,"Xatolik","Ok")</f>
        <v/>
      </c>
      <c r="K33" s="19" t="n"/>
      <c r="L33" s="19" t="n"/>
      <c r="M33" s="19" t="n"/>
      <c r="N33" s="19" t="n"/>
    </row>
    <row r="34">
      <c r="B34" s="18">
        <f>+B33+1</f>
        <v/>
      </c>
      <c r="C34" s="16" t="inlineStr">
        <is>
          <t>АО "Ziraat Bank Uzbekistan"</t>
        </is>
      </c>
      <c r="D34" s="15">
        <f>+HLOOKUP(C34,'Маҳаллий банклар'!$107:$138,32,0)</f>
        <v/>
      </c>
      <c r="E34" s="306">
        <f>+HLOOKUP(C34,'Маҳаллий банклар'!$107:$143,37,0)/1000000</f>
        <v/>
      </c>
      <c r="F34" s="5">
        <f>+IF(E34&gt;$D$44,"Xatolik","Ok")</f>
        <v/>
      </c>
      <c r="K34" s="19" t="n"/>
      <c r="L34" s="19" t="n"/>
      <c r="M34" s="19" t="n"/>
      <c r="N34" s="19" t="n"/>
    </row>
    <row r="35">
      <c r="B35" s="18">
        <f>+B34+1</f>
        <v/>
      </c>
      <c r="C35" s="16" t="inlineStr">
        <is>
          <t>"UZUM BANK" AJ</t>
        </is>
      </c>
      <c r="D35" s="15">
        <f>+HLOOKUP(C35,'Маҳаллий банклар'!$107:$138,32,0)</f>
        <v/>
      </c>
      <c r="E35" s="306">
        <f>+HLOOKUP(C35,'Маҳаллий банклар'!$107:$143,37,0)/1000000</f>
        <v/>
      </c>
      <c r="F35" s="5">
        <f>+IF(E35&gt;$D$44,"Xatolik","Ok")</f>
        <v/>
      </c>
      <c r="K35" s="19" t="n"/>
      <c r="L35" s="19" t="n"/>
      <c r="M35" s="19" t="n"/>
      <c r="N35" s="19" t="n"/>
    </row>
    <row r="36" customFormat="1" s="19">
      <c r="B36" s="18">
        <f>+B35+1</f>
        <v/>
      </c>
      <c r="C36" s="16" t="inlineStr">
        <is>
          <t>Smart bank</t>
        </is>
      </c>
      <c r="D36" s="15">
        <f>+HLOOKUP(C36,'Маҳаллий банклар'!$107:$138,32,0)</f>
        <v/>
      </c>
      <c r="E36" s="306">
        <f>+HLOOKUP(C36,'Маҳаллий банклар'!$107:$143,37,0)/1000000</f>
        <v/>
      </c>
      <c r="F36" s="5">
        <f>+IF(E36&gt;$D$44,"Xatolik","Ok")</f>
        <v/>
      </c>
    </row>
    <row r="37" customFormat="1" s="19">
      <c r="B37" s="18">
        <f>+B36+1</f>
        <v/>
      </c>
      <c r="C37" s="16" t="inlineStr">
        <is>
          <t>Apex bank</t>
        </is>
      </c>
      <c r="D37" s="15">
        <f>+HLOOKUP(C37,'Маҳаллий банклар'!$107:$138,32,0)</f>
        <v/>
      </c>
      <c r="E37" s="306">
        <f>+HLOOKUP(C37,'Маҳаллий банклар'!$107:$143,37,0)/1000000</f>
        <v/>
      </c>
      <c r="F37" s="5">
        <f>+IF(E37&gt;$D$44,"Xatolik","Ok")</f>
        <v/>
      </c>
    </row>
    <row r="38" customFormat="1" s="19">
      <c r="B38" s="18">
        <f>+B37+1</f>
        <v/>
      </c>
      <c r="C38" s="16" t="inlineStr">
        <is>
          <t>Hayot bank</t>
        </is>
      </c>
      <c r="D38" s="15">
        <f>+HLOOKUP(C38,'Маҳаллий банклар'!$107:$138,32,0)</f>
        <v/>
      </c>
      <c r="E38" s="306">
        <f>+HLOOKUP(C38,'Маҳаллий банклар'!$107:$143,37,0)/1000000</f>
        <v/>
      </c>
      <c r="F38" s="5">
        <f>+IF(E38&gt;$D$44,"Xatolik","Ok")</f>
        <v/>
      </c>
    </row>
    <row r="39" customFormat="1" s="19">
      <c r="B39" s="18">
        <f>+B38+1</f>
        <v/>
      </c>
      <c r="C39" s="16" t="inlineStr">
        <is>
          <t>Yangi bank</t>
        </is>
      </c>
      <c r="D39" s="15">
        <f>+HLOOKUP(C39,'Маҳаллий банклар'!$107:$138,32,0)</f>
        <v/>
      </c>
      <c r="E39" s="306">
        <f>+HLOOKUP(C39,'Маҳаллий банклар'!$107:$143,37,0)/1000000</f>
        <v/>
      </c>
      <c r="F39" s="5">
        <f>+IF(E39&gt;$D$44,"Xatolik","Ok")</f>
        <v/>
      </c>
    </row>
    <row r="40" customFormat="1" s="19">
      <c r="B40" s="18">
        <f>+B39+1</f>
        <v/>
      </c>
      <c r="C40" s="16" t="inlineStr">
        <is>
          <t>MKBank</t>
        </is>
      </c>
      <c r="D40" s="15">
        <f>+HLOOKUP(C40,'Маҳаллий банклар'!$107:$138,32,0)</f>
        <v/>
      </c>
      <c r="E40" s="306">
        <f>+HLOOKUP(C40,'Маҳаллий банклар'!$107:$143,37,0)/1000000</f>
        <v/>
      </c>
      <c r="F40" s="5">
        <f>+IF(E40&gt;$D$44,"Xatolik","Ok")</f>
        <v/>
      </c>
    </row>
    <row r="42">
      <c r="F42" s="5" t="n"/>
      <c r="J42" s="160" t="inlineStr">
        <is>
          <t>млн. дол.</t>
        </is>
      </c>
      <c r="O42" s="160" t="inlineStr">
        <is>
          <t>млн. дол.</t>
        </is>
      </c>
    </row>
    <row r="43" ht="113.25" customHeight="1">
      <c r="C43" s="243" t="inlineStr">
        <is>
          <t>I darajali kapital</t>
        </is>
      </c>
      <c r="D43" s="243" t="inlineStr">
        <is>
          <t>Bir hamkor-bank uchun birinchi darajali kapitalning 25 foizidan oshmagan miqdorda limit belgilanadi.</t>
        </is>
      </c>
      <c r="F43" s="5" t="n"/>
      <c r="H43" s="243" t="inlineStr">
        <is>
          <t>Банкнинг чет эл валютасидаги умумий активлар</t>
        </is>
      </c>
      <c r="I43" s="243" t="inlineStr">
        <is>
          <t>Bir hamkor-bank uchun mumkin boʻlgan maksimal hisob-kitob limiti bankning chet el valyutasidagi jami aktivlarining 15 foizigacha belgilanishi mumkin</t>
        </is>
      </c>
      <c r="J43" s="243" t="inlineStr">
        <is>
          <t>USD</t>
        </is>
      </c>
      <c r="M43" s="243" t="inlineStr">
        <is>
          <t>Банкнинг чет эл валютасидаги умумий активлар</t>
        </is>
      </c>
      <c r="N43" s="247" t="n">
        <v>0.3</v>
      </c>
      <c r="O43" s="243" t="inlineStr">
        <is>
          <t>USD</t>
        </is>
      </c>
    </row>
    <row r="44">
      <c r="C44" s="244" t="n">
        <v>3527766.525</v>
      </c>
      <c r="D44" s="244">
        <f>+C44*25%</f>
        <v/>
      </c>
      <c r="F44" s="5" t="n"/>
      <c r="H44" s="245">
        <f>+'Хорижий банклар'!B4*1000</f>
        <v/>
      </c>
      <c r="I44" s="244">
        <f>+H44*15%</f>
        <v/>
      </c>
      <c r="J44" s="309">
        <f>+I44/'Хорижий банклар'!C4/1000000</f>
        <v/>
      </c>
      <c r="M44" s="245">
        <f>+'Хорижий банклар'!B4*1000</f>
        <v/>
      </c>
      <c r="N44" s="244">
        <f>+M44*30%</f>
        <v/>
      </c>
      <c r="O44" s="309">
        <f>+N44/'Хорижий банклар'!C4/1000000</f>
        <v/>
      </c>
    </row>
    <row r="45" ht="17.25" customHeight="1"/>
    <row r="46" ht="17.25" customHeight="1"/>
    <row r="47" ht="17.25" customHeight="1"/>
    <row r="48" ht="18.75" customHeight="1">
      <c r="B48" s="284" t="n"/>
      <c r="E48" s="13" t="n"/>
    </row>
    <row r="49">
      <c r="B49" s="19" t="n"/>
    </row>
    <row r="50" ht="17.25" customHeight="1"/>
  </sheetData>
  <mergeCells count="16">
    <mergeCell ref="G2:J2"/>
    <mergeCell ref="G4:G5"/>
    <mergeCell ref="H4:H5"/>
    <mergeCell ref="I4:I5"/>
    <mergeCell ref="J4:J5"/>
    <mergeCell ref="B4:B5"/>
    <mergeCell ref="C4:C5"/>
    <mergeCell ref="D4:D5"/>
    <mergeCell ref="E4:E5"/>
    <mergeCell ref="B1:E1"/>
    <mergeCell ref="B2:E2"/>
    <mergeCell ref="L2:O2"/>
    <mergeCell ref="L4:L5"/>
    <mergeCell ref="M4:M5"/>
    <mergeCell ref="N4:N5"/>
    <mergeCell ref="O4:O5"/>
  </mergeCells>
  <conditionalFormatting sqref="E6:E39">
    <cfRule type="dataBar" priority="8">
      <dataBar>
        <cfvo type="min"/>
        <cfvo type="max"/>
        <color rgb="FF638EC6"/>
      </dataBar>
    </cfRule>
  </conditionalFormatting>
  <conditionalFormatting sqref="E40">
    <cfRule type="dataBar" priority="6">
      <dataBar>
        <cfvo type="min"/>
        <cfvo type="max"/>
        <color rgb="FF638EC6"/>
      </dataBar>
    </cfRule>
  </conditionalFormatting>
  <conditionalFormatting sqref="D6:D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40">
    <cfRule type="cellIs" priority="3" operator="equal" dxfId="0">
      <formula>"Xatolik"</formula>
    </cfRule>
  </conditionalFormatting>
  <conditionalFormatting sqref="K6:K9">
    <cfRule type="cellIs" priority="2" operator="equal" dxfId="0">
      <formula>"Xatolik"</formula>
    </cfRule>
  </conditionalFormatting>
  <conditionalFormatting sqref="P6:P9">
    <cfRule type="cellIs" priority="1" operator="equal" dxfId="0">
      <formula>"Xatolik"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4" sqref="A4"/>
    </sheetView>
  </sheetViews>
  <sheetFormatPr baseColWidth="8" defaultRowHeight="15"/>
  <cols>
    <col width="66.7109375" customWidth="1" style="10" min="1" max="1"/>
    <col width="9.140625" customWidth="1" style="10" min="2" max="2"/>
    <col width="9.140625" customWidth="1" style="10" min="3" max="16384"/>
  </cols>
  <sheetData>
    <row r="1">
      <c r="A1" s="11" t="inlineStr">
        <is>
          <t>Капитал етарлилиги кўрсаткичлари:</t>
        </is>
      </c>
    </row>
    <row r="2">
      <c r="A2" s="10" t="inlineStr">
        <is>
          <t xml:space="preserve">Капитал 1- дараж. / рискка тортилган активлар </t>
        </is>
      </c>
    </row>
    <row r="3">
      <c r="A3" s="10" t="inlineStr">
        <is>
          <t>Капитал / жами мажбуриятлар</t>
        </is>
      </c>
    </row>
    <row r="4">
      <c r="A4" s="10" t="inlineStr">
        <is>
          <t>Капитал / Депозитлар</t>
        </is>
      </c>
    </row>
    <row r="5">
      <c r="A5" s="11" t="inlineStr">
        <is>
          <t>Ликвидлик кўрсаткичи</t>
        </is>
      </c>
    </row>
    <row r="6">
      <c r="A6" s="10" t="inlineStr">
        <is>
          <t>Ликвид активлар / талаб қилиб олингунча мажбуриятлар</t>
        </is>
      </c>
    </row>
    <row r="7">
      <c r="A7" s="10" t="inlineStr">
        <is>
          <t>Зудлик билан тўлаб бериш қобилияти</t>
        </is>
      </c>
    </row>
    <row r="8">
      <c r="A8" s="10" t="inlineStr">
        <is>
          <t>Ликвидли активлар / Даромад келтирувчи активлар</t>
        </is>
      </c>
    </row>
    <row r="9">
      <c r="A9" s="11" t="inlineStr">
        <is>
          <t>Активлар</t>
        </is>
      </c>
    </row>
    <row r="10">
      <c r="A10" s="10" t="inlineStr">
        <is>
          <t>Ссудалар / активлар</t>
        </is>
      </c>
    </row>
    <row r="11">
      <c r="A11" s="10" t="inlineStr">
        <is>
          <t>Фоизли даромадлар / даромад келтирувчи активлар</t>
        </is>
      </c>
    </row>
    <row r="12" ht="30" customHeight="1">
      <c r="A12" s="10" t="inlineStr">
        <is>
          <t>Ҳисобланган лекин ундирилмаган фоизлар / даромад келтирувчи активлар</t>
        </is>
      </c>
    </row>
    <row r="13">
      <c r="A13" s="10" t="inlineStr">
        <is>
          <t>Ҳисобланган лекин ундирилмаган фоизлар / даромадлар</t>
        </is>
      </c>
    </row>
    <row r="14">
      <c r="A14" s="11" t="inlineStr">
        <is>
          <t>Рентабеллик кўрсаткичи</t>
        </is>
      </c>
    </row>
    <row r="15">
      <c r="A15" s="10" t="inlineStr">
        <is>
          <t>Соф фойда / жами активлар</t>
        </is>
      </c>
    </row>
    <row r="16">
      <c r="A16" s="10" t="inlineStr">
        <is>
          <t>Соф фойда / капитал</t>
        </is>
      </c>
    </row>
    <row r="17">
      <c r="A17" s="10" t="inlineStr">
        <is>
          <t>Харажатлар/даромадлар</t>
        </is>
      </c>
    </row>
    <row r="18">
      <c r="A18" s="10" t="inlineStr">
        <is>
          <t>Ҳисобланган лекин ундирилмаган фоизлар / Соф фойда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Alobek Abdumannopov</dc:creator>
  <dcterms:created xmlns:dcterms="http://purl.org/dc/terms/" xmlns:xsi="http://www.w3.org/2001/XMLSchema-instance" xsi:type="dcterms:W3CDTF">2021-02-11T10:01:02Z</dcterms:created>
  <dcterms:modified xmlns:dcterms="http://purl.org/dc/terms/" xmlns:xsi="http://www.w3.org/2001/XMLSchema-instance" xsi:type="dcterms:W3CDTF">2025-07-29T14:46:03Z</dcterms:modified>
  <cp:lastModifiedBy>Abdulaziz Rashidov</cp:lastModifiedBy>
  <cp:lastPrinted>2025-04-23T04:32:14Z</cp:lastPrinted>
</cp:coreProperties>
</file>